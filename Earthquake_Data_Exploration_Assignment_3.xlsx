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_Data" sheetId="1" state="visible" r:id="rId3"/>
    <sheet name="Exploration" sheetId="2" state="visible" r:id="rId4"/>
    <sheet name="Quality_Audit" sheetId="3" state="visible" r:id="rId5"/>
    <sheet name="Dashboard" sheetId="4" state="visible" r:id="rId6"/>
    <sheet name="Data_Quality_Summary" sheetId="5" state="visible" r:id="rId7"/>
    <sheet name="Read_Me" sheetId="6" state="visible" r:id="rId8"/>
  </sheets>
  <definedNames>
    <definedName function="false" hidden="true" localSheetId="0" name="_xlnm._FilterDatabase" vbProcedure="false">Raw_Data!$A$1:$W$1001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<sst xmlns="http://schemas.openxmlformats.org/spreadsheetml/2006/main" count="6559" uniqueCount="2682">
  <si>
    <t xml:space="preserve">title</t>
  </si>
  <si>
    <t xml:space="preserve">magnitude</t>
  </si>
  <si>
    <t xml:space="preserve">date_time</t>
  </si>
  <si>
    <t xml:space="preserve">cdi</t>
  </si>
  <si>
    <t xml:space="preserve">mmi</t>
  </si>
  <si>
    <t xml:space="preserve">alert</t>
  </si>
  <si>
    <t xml:space="preserve">tsunami</t>
  </si>
  <si>
    <t xml:space="preserve">sig</t>
  </si>
  <si>
    <t xml:space="preserve">net</t>
  </si>
  <si>
    <t xml:space="preserve">nst</t>
  </si>
  <si>
    <t xml:space="preserve">dmin</t>
  </si>
  <si>
    <t xml:space="preserve">gap</t>
  </si>
  <si>
    <t xml:space="preserve">magType</t>
  </si>
  <si>
    <t xml:space="preserve">depth</t>
  </si>
  <si>
    <t xml:space="preserve">latitude</t>
  </si>
  <si>
    <t xml:space="preserve">longitude</t>
  </si>
  <si>
    <t xml:space="preserve">location</t>
  </si>
  <si>
    <t xml:space="preserve">continent</t>
  </si>
  <si>
    <t xml:space="preserve">country</t>
  </si>
  <si>
    <t xml:space="preserve">converted_datetime</t>
  </si>
  <si>
    <t xml:space="preserve">title_pattern</t>
  </si>
  <si>
    <t xml:space="preserve">magType_normalized</t>
  </si>
  <si>
    <t xml:space="preserve">duplicate_flag</t>
  </si>
  <si>
    <t xml:space="preserve">M 6.5 - 42 km W of Sola, Vanuatu</t>
  </si>
  <si>
    <t xml:space="preserve">16/08/2023 12:47</t>
  </si>
  <si>
    <t xml:space="preserve">green</t>
  </si>
  <si>
    <t xml:space="preserve">us</t>
  </si>
  <si>
    <t xml:space="preserve">mww</t>
  </si>
  <si>
    <t xml:space="preserve">Sola, Vanuatu</t>
  </si>
  <si>
    <t xml:space="preserve">Vanuatu</t>
  </si>
  <si>
    <t xml:space="preserve">M 6.5 - 43 km S of Intipucá, El Salvador</t>
  </si>
  <si>
    <t xml:space="preserve">19/07/2023 00:22</t>
  </si>
  <si>
    <t xml:space="preserve">yellow</t>
  </si>
  <si>
    <t xml:space="preserve">Intipucá, El Salvador</t>
  </si>
  <si>
    <t xml:space="preserve">M 6.6 - 25 km ESE of Loncopué, Argentina</t>
  </si>
  <si>
    <t xml:space="preserve">17/07/2023 03:05</t>
  </si>
  <si>
    <t xml:space="preserve">Loncopué, Argentina</t>
  </si>
  <si>
    <t xml:space="preserve">South America</t>
  </si>
  <si>
    <t xml:space="preserve">Argentina</t>
  </si>
  <si>
    <t xml:space="preserve">M 7.2 - 98 km S of Sand Point, Alaska</t>
  </si>
  <si>
    <t xml:space="preserve">16/07/2023 06:48</t>
  </si>
  <si>
    <t xml:space="preserve">Sand Point, Alaska</t>
  </si>
  <si>
    <t xml:space="preserve">M 7.3 - Alaska Peninsula</t>
  </si>
  <si>
    <t xml:space="preserve">at</t>
  </si>
  <si>
    <t xml:space="preserve">Mi</t>
  </si>
  <si>
    <t xml:space="preserve">Alaska Peninsula</t>
  </si>
  <si>
    <t xml:space="preserve">M 6.6 - 277 km NNE of Codrington, Antigua and Barbuda</t>
  </si>
  <si>
    <t xml:space="preserve">10/07/2023 20:28</t>
  </si>
  <si>
    <t xml:space="preserve">Codrington, Antigua and Barbuda</t>
  </si>
  <si>
    <t xml:space="preserve">M 6.9 - Tonga</t>
  </si>
  <si>
    <t xml:space="preserve">02/07/2023 10:27</t>
  </si>
  <si>
    <t xml:space="preserve">Tonga</t>
  </si>
  <si>
    <t xml:space="preserve">M 7.2 - south of the Fiji Islands</t>
  </si>
  <si>
    <t xml:space="preserve">15/06/2023 18:06</t>
  </si>
  <si>
    <t xml:space="preserve">the Fiji Islands</t>
  </si>
  <si>
    <t xml:space="preserve">M 6.6 - Panama-Colombia border region</t>
  </si>
  <si>
    <t xml:space="preserve">25/05/2023 03:05</t>
  </si>
  <si>
    <t xml:space="preserve">Panama-Colombia border region</t>
  </si>
  <si>
    <t xml:space="preserve">Colombia</t>
  </si>
  <si>
    <t xml:space="preserve">M 7.1 - southeast of the Loyalty Islands</t>
  </si>
  <si>
    <t xml:space="preserve">20/05/2023 01:51</t>
  </si>
  <si>
    <t xml:space="preserve">the Loyalty Islands</t>
  </si>
  <si>
    <t xml:space="preserve">M 7.7 - southeast of the Loyalty Islands</t>
  </si>
  <si>
    <t xml:space="preserve">19/05/2023 02:57</t>
  </si>
  <si>
    <t xml:space="preserve">M 7.6 - 95 km WNW of Hihifo, Tonga</t>
  </si>
  <si>
    <t xml:space="preserve">10/05/2023 16:02</t>
  </si>
  <si>
    <t xml:space="preserve">Hihifo, Tonga</t>
  </si>
  <si>
    <t xml:space="preserve">M 6.6 - south of the Fiji Islands</t>
  </si>
  <si>
    <t xml:space="preserve">28/04/2023 03:13</t>
  </si>
  <si>
    <t xml:space="preserve">M 7.1 - 170 km SSE of Teluk Dalam, Indonesia</t>
  </si>
  <si>
    <t xml:space="preserve">24/04/2023 20:00</t>
  </si>
  <si>
    <t xml:space="preserve">Teluk Dalam, Indonesia</t>
  </si>
  <si>
    <t xml:space="preserve">Indonesia</t>
  </si>
  <si>
    <t xml:space="preserve">M 7.1 - Kermadec Islands, New Zealand</t>
  </si>
  <si>
    <t xml:space="preserve">24/04/2023 00:41</t>
  </si>
  <si>
    <t xml:space="preserve">Kermadec Islands, New Zealand</t>
  </si>
  <si>
    <t xml:space="preserve">M 6.7 - south of the Fiji Islands</t>
  </si>
  <si>
    <t xml:space="preserve">18/04/2023 04:31</t>
  </si>
  <si>
    <t xml:space="preserve">M 7.0 - 96 km N of Tuban, Indonesia</t>
  </si>
  <si>
    <t xml:space="preserve">14/04/2023 09:55</t>
  </si>
  <si>
    <t xml:space="preserve">Tuban, Indonesia</t>
  </si>
  <si>
    <t xml:space="preserve">M 6.5 - near the east coast of the Kamchatka Peninsula, Russia</t>
  </si>
  <si>
    <t xml:space="preserve">03/04/2023 03:06</t>
  </si>
  <si>
    <t xml:space="preserve">the Kamchatka Peninsula, Russia</t>
  </si>
  <si>
    <t xml:space="preserve">Asia</t>
  </si>
  <si>
    <t xml:space="preserve">Russian Federation (the)</t>
  </si>
  <si>
    <t xml:space="preserve">M 7.0 - New Guinea, Papua New Guinea</t>
  </si>
  <si>
    <t xml:space="preserve">02/04/2023 18:04</t>
  </si>
  <si>
    <t xml:space="preserve">New Guinea, Papua New Guinea</t>
  </si>
  <si>
    <t xml:space="preserve">Papua New Guinea</t>
  </si>
  <si>
    <t xml:space="preserve">M 6.5 - 84 km NNW of San Antonio de los Cobres, Argentina</t>
  </si>
  <si>
    <t xml:space="preserve">22/03/2023 16:00</t>
  </si>
  <si>
    <t xml:space="preserve">San Antonio de los Cobres, Argentina</t>
  </si>
  <si>
    <t xml:space="preserve">M 6.5 - 40 km SSE of Jurm, Afghanistan</t>
  </si>
  <si>
    <t xml:space="preserve">21/03/2023 16:47</t>
  </si>
  <si>
    <t xml:space="preserve">Jurm, Afghanistan</t>
  </si>
  <si>
    <t xml:space="preserve">Afghanistan</t>
  </si>
  <si>
    <t xml:space="preserve">M 6.8 - near the coast of Ecuador</t>
  </si>
  <si>
    <t xml:space="preserve">18/03/2023 17:12</t>
  </si>
  <si>
    <t xml:space="preserve">orange</t>
  </si>
  <si>
    <t xml:space="preserve">Ecuador</t>
  </si>
  <si>
    <t xml:space="preserve">M 7.0 - Kermadec Islands region</t>
  </si>
  <si>
    <t xml:space="preserve">16/03/2023 00:56</t>
  </si>
  <si>
    <t xml:space="preserve">Kermadec Islands region</t>
  </si>
  <si>
    <t xml:space="preserve">M 6.9 - Kermadec Islands, New Zealand</t>
  </si>
  <si>
    <t xml:space="preserve">04/03/2023 06:41</t>
  </si>
  <si>
    <t xml:space="preserve">M 6.5 - 86 km WSW of Port-Olry, Vanuatu</t>
  </si>
  <si>
    <t xml:space="preserve">02/03/2023 18:04</t>
  </si>
  <si>
    <t xml:space="preserve">Port-Olry, Vanuatu</t>
  </si>
  <si>
    <t xml:space="preserve">M 6.5 - 108 km NW of Kimbe, Papua New Guinea</t>
  </si>
  <si>
    <t xml:space="preserve">01/03/2023 05:36</t>
  </si>
  <si>
    <t xml:space="preserve">Kimbe, Papua New Guinea</t>
  </si>
  <si>
    <t xml:space="preserve">M 6.8 - 67 km W of Murghob, Tajikistan</t>
  </si>
  <si>
    <t xml:space="preserve">23/02/2023 00:37</t>
  </si>
  <si>
    <t xml:space="preserve">Murghob, Tajikistan</t>
  </si>
  <si>
    <t xml:space="preserve">Tajikistan</t>
  </si>
  <si>
    <t xml:space="preserve">M 7.5 - 4 km SSE of Ekinözü, Turkey</t>
  </si>
  <si>
    <t xml:space="preserve">06/02/2023 10:24</t>
  </si>
  <si>
    <t xml:space="preserve">Ekinözü, Turkey</t>
  </si>
  <si>
    <t xml:space="preserve">Turkiye</t>
  </si>
  <si>
    <t xml:space="preserve">M 6.7 - 18 km ESE of Nurdağı, Turkey</t>
  </si>
  <si>
    <t xml:space="preserve">06/02/2023 01:28</t>
  </si>
  <si>
    <t xml:space="preserve">Nurdağı, Turkey</t>
  </si>
  <si>
    <t xml:space="preserve">M 7.8 - Central Turkey</t>
  </si>
  <si>
    <t xml:space="preserve">06/02/2023 01:17</t>
  </si>
  <si>
    <t xml:space="preserve">red</t>
  </si>
  <si>
    <t xml:space="preserve">Central Turkey</t>
  </si>
  <si>
    <t xml:space="preserve">M 6.8 - </t>
  </si>
  <si>
    <t xml:space="preserve">20/01/2023 22:09</t>
  </si>
  <si>
    <t xml:space="preserve">M 7.0 - 153 km NW of Tobelo, Indonesia</t>
  </si>
  <si>
    <t xml:space="preserve">18/01/2023 06:06</t>
  </si>
  <si>
    <t xml:space="preserve">mwc</t>
  </si>
  <si>
    <t xml:space="preserve">Tobelo, Indonesia</t>
  </si>
  <si>
    <t xml:space="preserve">M 7.6 - Pulau Pulau Tanimbar, Indonesia</t>
  </si>
  <si>
    <t xml:space="preserve">09/01/2023 17:47</t>
  </si>
  <si>
    <t xml:space="preserve">Pulau Pulau Tanimbar, Indonesia</t>
  </si>
  <si>
    <t xml:space="preserve">M 7.0 - Vanuatu</t>
  </si>
  <si>
    <t xml:space="preserve">08/01/2023 12:32</t>
  </si>
  <si>
    <t xml:space="preserve">M 6.8 - 109 km NE of Hihifo, Tonga</t>
  </si>
  <si>
    <t xml:space="preserve">04/12/2022 19:24</t>
  </si>
  <si>
    <t xml:space="preserve">M 7.0 - 18 km SW of Malango, Solomon Islands</t>
  </si>
  <si>
    <t xml:space="preserve">22/11/2022 02:03</t>
  </si>
  <si>
    <t xml:space="preserve">Malango, Solomon Islands</t>
  </si>
  <si>
    <t xml:space="preserve">Oceania</t>
  </si>
  <si>
    <t xml:space="preserve">Solomon Islands</t>
  </si>
  <si>
    <t xml:space="preserve">M 6.9 - 204 km SW of Bengkulu, Indonesia</t>
  </si>
  <si>
    <t xml:space="preserve">18/11/2022 13:37</t>
  </si>
  <si>
    <t xml:space="preserve">Bengkulu, Indonesia</t>
  </si>
  <si>
    <t xml:space="preserve">M 7.0 - </t>
  </si>
  <si>
    <t xml:space="preserve">12/11/2022 07:09</t>
  </si>
  <si>
    <t xml:space="preserve">Fiji</t>
  </si>
  <si>
    <t xml:space="preserve">M 7.3 - 205 km ESE of Neiafu, Tonga</t>
  </si>
  <si>
    <t xml:space="preserve">11/11/2022 10:48</t>
  </si>
  <si>
    <t xml:space="preserve">Neiafu, Tonga</t>
  </si>
  <si>
    <t xml:space="preserve">M 6.6 - </t>
  </si>
  <si>
    <t xml:space="preserve">09/11/2022 10:14</t>
  </si>
  <si>
    <t xml:space="preserve">M 7.0 - south of the Fiji Islands</t>
  </si>
  <si>
    <t xml:space="preserve">09/11/2022 09:51</t>
  </si>
  <si>
    <t xml:space="preserve">mwb</t>
  </si>
  <si>
    <t xml:space="preserve">M 6.8 - south of the Fiji Islands</t>
  </si>
  <si>
    <t xml:space="preserve">09/11/2022 09:38</t>
  </si>
  <si>
    <t xml:space="preserve">M 6.7 - 60 km SSW of Boca Chica, Panama</t>
  </si>
  <si>
    <t xml:space="preserve">20/10/2022 11:57</t>
  </si>
  <si>
    <t xml:space="preserve">Boca Chica, Panama</t>
  </si>
  <si>
    <t xml:space="preserve">Panama</t>
  </si>
  <si>
    <t xml:space="preserve">M 6.8 - 55 km SSW of Aguililla, Mexico</t>
  </si>
  <si>
    <t xml:space="preserve">22/09/2022 06:16</t>
  </si>
  <si>
    <t xml:space="preserve">Aguililla, Mexico</t>
  </si>
  <si>
    <t xml:space="preserve">North America</t>
  </si>
  <si>
    <t xml:space="preserve">Mexico</t>
  </si>
  <si>
    <t xml:space="preserve">M 7.6 - 35 km SSW of Aguililla, Mexico</t>
  </si>
  <si>
    <t xml:space="preserve">19/09/2022 18:05</t>
  </si>
  <si>
    <t xml:space="preserve">M 6.9 - 90 km E of Yujing, Taiwan</t>
  </si>
  <si>
    <t xml:space="preserve">18/09/2022 06:44</t>
  </si>
  <si>
    <t xml:space="preserve">Yujing, Taiwan</t>
  </si>
  <si>
    <t xml:space="preserve">Taiwan</t>
  </si>
  <si>
    <t xml:space="preserve">M 6.5 - 96 km SE of Lugu, Taiwan</t>
  </si>
  <si>
    <t xml:space="preserve">17/09/2022 13:41</t>
  </si>
  <si>
    <t xml:space="preserve">Lugu, Taiwan</t>
  </si>
  <si>
    <t xml:space="preserve">M 7.0 - 209 km SSE of Isangel, Vanuatu</t>
  </si>
  <si>
    <t xml:space="preserve">14/09/2022 11:04</t>
  </si>
  <si>
    <t xml:space="preserve">Isangel, Vanuatu</t>
  </si>
  <si>
    <t xml:space="preserve">M 7.6 - 70 km E of Kainantu, Papua New Guinea</t>
  </si>
  <si>
    <t xml:space="preserve">10/09/2022 23:47</t>
  </si>
  <si>
    <t xml:space="preserve">Kainantu, Papua New Guinea</t>
  </si>
  <si>
    <t xml:space="preserve">M 6.6 - 44 km SE of Kangding, China</t>
  </si>
  <si>
    <t xml:space="preserve">05/09/2022 04:52</t>
  </si>
  <si>
    <t xml:space="preserve">Kangding, China</t>
  </si>
  <si>
    <t xml:space="preserve">People's Republic of China</t>
  </si>
  <si>
    <t xml:space="preserve">M 6.6 - south of the Kermadec Islands</t>
  </si>
  <si>
    <t xml:space="preserve">14/08/2022 13:44</t>
  </si>
  <si>
    <t xml:space="preserve">the Kermadec Islands</t>
  </si>
  <si>
    <t xml:space="preserve">M 7.0 - 11 km NE of Bantay, Philippines</t>
  </si>
  <si>
    <t xml:space="preserve">27/07/2022 00:43</t>
  </si>
  <si>
    <t xml:space="preserve">Bantay, Philippines</t>
  </si>
  <si>
    <t xml:space="preserve">Philippines</t>
  </si>
  <si>
    <t xml:space="preserve">M 6.5 - 107 km SSW of Tarauacá, Brazil</t>
  </si>
  <si>
    <t xml:space="preserve">08/06/2022 00:55</t>
  </si>
  <si>
    <t xml:space="preserve">Tarauacá, Brazil</t>
  </si>
  <si>
    <t xml:space="preserve">Brazil</t>
  </si>
  <si>
    <t xml:space="preserve">M 7.2 - 10 km W of Azángaro, Peru</t>
  </si>
  <si>
    <t xml:space="preserve">26/05/2022 12:02</t>
  </si>
  <si>
    <t xml:space="preserve">Azángaro, Peru</t>
  </si>
  <si>
    <t xml:space="preserve">Peru</t>
  </si>
  <si>
    <t xml:space="preserve">M 6.9 - </t>
  </si>
  <si>
    <t xml:space="preserve">19/05/2022 10:13</t>
  </si>
  <si>
    <t xml:space="preserve">M 6.8 - 86 km NNW of San Antonio de los Cobres, Argentina</t>
  </si>
  <si>
    <t xml:space="preserve">10/05/2022 23:06</t>
  </si>
  <si>
    <t xml:space="preserve">M 6.6 - 55 km WSW of Masachapa, Nicaragua</t>
  </si>
  <si>
    <t xml:space="preserve">21/04/2022 07:42</t>
  </si>
  <si>
    <t xml:space="preserve">Masachapa, Nicaragua</t>
  </si>
  <si>
    <t xml:space="preserve">M 7.0 - southeast of the Loyalty Islands</t>
  </si>
  <si>
    <t xml:space="preserve">31/03/2022 05:44</t>
  </si>
  <si>
    <t xml:space="preserve">M 6.9 - 284 km ESE of Tadine, New Caledonia</t>
  </si>
  <si>
    <t xml:space="preserve">30/03/2022 20:56</t>
  </si>
  <si>
    <t xml:space="preserve">Tadine, New Caledonia</t>
  </si>
  <si>
    <t xml:space="preserve">M 6.7 - 65 km S of Hualien City, Taiwan</t>
  </si>
  <si>
    <t xml:space="preserve">22/03/2022 17:41</t>
  </si>
  <si>
    <t xml:space="preserve">Hualien City, Taiwan</t>
  </si>
  <si>
    <t xml:space="preserve">M 7.3 - 57 km ENE of Namie, Japan</t>
  </si>
  <si>
    <t xml:space="preserve">16/03/2022 14:36</t>
  </si>
  <si>
    <t xml:space="preserve">Namie, Japan</t>
  </si>
  <si>
    <t xml:space="preserve">M 6.7 - 166 km W of Pariaman, Indonesia</t>
  </si>
  <si>
    <t xml:space="preserve">13/03/2022 21:09</t>
  </si>
  <si>
    <t xml:space="preserve">Pariaman, Indonesia</t>
  </si>
  <si>
    <t xml:space="preserve">M 6.6 - Kermadec Islands, New Zealand</t>
  </si>
  <si>
    <t xml:space="preserve">02/03/2022 12:52</t>
  </si>
  <si>
    <t xml:space="preserve">16/02/2022 20:21</t>
  </si>
  <si>
    <t xml:space="preserve">M 6.5 - 49 km NW of Barranca, Peru</t>
  </si>
  <si>
    <t xml:space="preserve">03/02/2022 15:58</t>
  </si>
  <si>
    <t xml:space="preserve">Barranca, Peru</t>
  </si>
  <si>
    <t xml:space="preserve">M 6.5 - Kermadec Islands region</t>
  </si>
  <si>
    <t xml:space="preserve">29/01/2022 02:46</t>
  </si>
  <si>
    <t xml:space="preserve">M 6.6 - 80 km SW of Labuan, Indonesia</t>
  </si>
  <si>
    <t xml:space="preserve">14/01/2022 09:05</t>
  </si>
  <si>
    <t xml:space="preserve">Labuan, Indonesia</t>
  </si>
  <si>
    <t xml:space="preserve">M 6.5 - 71 km SE of Nikolski, Alaska</t>
  </si>
  <si>
    <t xml:space="preserve">11/01/2022 12:39</t>
  </si>
  <si>
    <t xml:space="preserve">Nikolski, Alaska</t>
  </si>
  <si>
    <t xml:space="preserve">pt</t>
  </si>
  <si>
    <t xml:space="preserve">M 6.6 - 53 km SE of Nikolski, Alaska</t>
  </si>
  <si>
    <t xml:space="preserve">M 6.7 - 91 km SE of Nikolski, Alaska</t>
  </si>
  <si>
    <t xml:space="preserve">11/01/2022 11:35</t>
  </si>
  <si>
    <t xml:space="preserve">M 6.8 - 100 km SE of Nikolski, Alaska</t>
  </si>
  <si>
    <t xml:space="preserve">M 6.6 - 48 km WNW of Pólis, Cyprus</t>
  </si>
  <si>
    <t xml:space="preserve">11/01/2022 01:07</t>
  </si>
  <si>
    <t xml:space="preserve">Pólis, Cyprus</t>
  </si>
  <si>
    <t xml:space="preserve">M 6.6 - northern Qinghai, China</t>
  </si>
  <si>
    <t xml:space="preserve">07/01/2022 17:45</t>
  </si>
  <si>
    <t xml:space="preserve">northern Qinghai, China</t>
  </si>
  <si>
    <t xml:space="preserve">M 7.3 - 125 km NNE of Lospalos, Timor Leste</t>
  </si>
  <si>
    <t xml:space="preserve">29/12/2021 18:25</t>
  </si>
  <si>
    <t xml:space="preserve">Lospalos, Timor Leste</t>
  </si>
  <si>
    <t xml:space="preserve">M 7.3 - Flores Sea</t>
  </si>
  <si>
    <t xml:space="preserve">14/12/2021 03:20</t>
  </si>
  <si>
    <t xml:space="preserve">Flores Sea</t>
  </si>
  <si>
    <t xml:space="preserve">M 7.5 - 43 km NNW of Barranca, Peru</t>
  </si>
  <si>
    <t xml:space="preserve">28/11/2021 10:52</t>
  </si>
  <si>
    <t xml:space="preserve">M 6.6 - 177 km SE of Hirara, Japan</t>
  </si>
  <si>
    <t xml:space="preserve">10/11/2021 15:45</t>
  </si>
  <si>
    <t xml:space="preserve">Hirara, Japan</t>
  </si>
  <si>
    <t xml:space="preserve">M 6.9 - 112 km E of Chignik, Alaska</t>
  </si>
  <si>
    <t xml:space="preserve">11/10/2021 09:10</t>
  </si>
  <si>
    <t xml:space="preserve">ak</t>
  </si>
  <si>
    <t xml:space="preserve">Chignik, Alaska</t>
  </si>
  <si>
    <t xml:space="preserve">United States of America</t>
  </si>
  <si>
    <t xml:space="preserve">M 6.9 - Vanuatu region</t>
  </si>
  <si>
    <t xml:space="preserve">09/10/2021 10:58</t>
  </si>
  <si>
    <t xml:space="preserve">Vanuatu region</t>
  </si>
  <si>
    <t xml:space="preserve">M 7.3 - Vanuatu region</t>
  </si>
  <si>
    <t xml:space="preserve">02/10/2021 06:29</t>
  </si>
  <si>
    <t xml:space="preserve">M 6.5 - 80 km SW of Jiquilillo, Nicaragua</t>
  </si>
  <si>
    <t xml:space="preserve">22/09/2021 09:57</t>
  </si>
  <si>
    <t xml:space="preserve">Jiquilillo, Nicaragua</t>
  </si>
  <si>
    <t xml:space="preserve">M 7.0 - Acapulco, Mexico</t>
  </si>
  <si>
    <t xml:space="preserve">08/09/2021 01:47</t>
  </si>
  <si>
    <t xml:space="preserve">Acapulco, Mexico</t>
  </si>
  <si>
    <t xml:space="preserve">M 7.1 - South Sandwich Islands region</t>
  </si>
  <si>
    <t xml:space="preserve">22/08/2021 21:33</t>
  </si>
  <si>
    <t xml:space="preserve">South Sandwich Islands region</t>
  </si>
  <si>
    <t xml:space="preserve">Antarctica</t>
  </si>
  <si>
    <t xml:space="preserve">M 6.6 - South Sandwich Islands region</t>
  </si>
  <si>
    <t xml:space="preserve">22/08/2021 00:45</t>
  </si>
  <si>
    <t xml:space="preserve">M 6.9 - 17 km N of Port-Olry, Vanuatu</t>
  </si>
  <si>
    <t xml:space="preserve">18/08/2021 10:10</t>
  </si>
  <si>
    <t xml:space="preserve">M 6.9 - South Sandwich Islands region</t>
  </si>
  <si>
    <t xml:space="preserve">16/08/2021 11:10</t>
  </si>
  <si>
    <t xml:space="preserve">M 7.2 - Nippes, Haiti</t>
  </si>
  <si>
    <t xml:space="preserve">14/08/2021 12:29</t>
  </si>
  <si>
    <t xml:space="preserve">Nippes, Haiti</t>
  </si>
  <si>
    <t xml:space="preserve">Haiti</t>
  </si>
  <si>
    <t xml:space="preserve">M 6.9 - 136 km SE of Perryville, Alaska</t>
  </si>
  <si>
    <t xml:space="preserve">14/08/2021 11:57</t>
  </si>
  <si>
    <t xml:space="preserve">Perryville, Alaska</t>
  </si>
  <si>
    <t xml:space="preserve">M 6.9 - 125 km SE of Perryville, Alaska</t>
  </si>
  <si>
    <t xml:space="preserve">M 8.1 - South Sandwich Islands region</t>
  </si>
  <si>
    <t xml:space="preserve">12/08/2021 18:35</t>
  </si>
  <si>
    <t xml:space="preserve">M 7.5 - South Sandwich Islands region</t>
  </si>
  <si>
    <t xml:space="preserve">12/08/2021 18:32</t>
  </si>
  <si>
    <t xml:space="preserve">M 7.1 - 60 km ENE of Pondaguitan, Philippines</t>
  </si>
  <si>
    <t xml:space="preserve">11/08/2021 17:46</t>
  </si>
  <si>
    <t xml:space="preserve">Pondaguitan, Philippines</t>
  </si>
  <si>
    <t xml:space="preserve">M 8.2 - 91 km ESE of Perryville, Alaska</t>
  </si>
  <si>
    <t xml:space="preserve">29/07/2021 06:15</t>
  </si>
  <si>
    <t xml:space="preserve">M 8.2 - 99 km SE of Perryville, Alaska</t>
  </si>
  <si>
    <t xml:space="preserve">M 6.7 - 15 km S of Hukay, Philippines</t>
  </si>
  <si>
    <t xml:space="preserve">23/07/2021 20:48</t>
  </si>
  <si>
    <t xml:space="preserve">Hukay, Philippines</t>
  </si>
  <si>
    <t xml:space="preserve">M 6.7 - 71 km S of Burica, Panama</t>
  </si>
  <si>
    <t xml:space="preserve">21/07/2021 21:15</t>
  </si>
  <si>
    <t xml:space="preserve">Burica, Panama</t>
  </si>
  <si>
    <t xml:space="preserve">M 6.5 - Kermadec Islands, New Zealand</t>
  </si>
  <si>
    <t xml:space="preserve">20/06/2021 17:05</t>
  </si>
  <si>
    <t xml:space="preserve">M 6.5 - 265 km SSE of Alo, Wallis and Futuna</t>
  </si>
  <si>
    <t xml:space="preserve">21/05/2021 22:13</t>
  </si>
  <si>
    <t xml:space="preserve">Alo, Wallis and Futuna</t>
  </si>
  <si>
    <t xml:space="preserve">M 7.3 - Southern Qinghai, China</t>
  </si>
  <si>
    <t xml:space="preserve">21/05/2021 18:04</t>
  </si>
  <si>
    <t xml:space="preserve">Southern Qinghai, China</t>
  </si>
  <si>
    <t xml:space="preserve">M 6.7 - 260 km S of Sinabang, Indonesia</t>
  </si>
  <si>
    <t xml:space="preserve">14/05/2021 06:33</t>
  </si>
  <si>
    <t xml:space="preserve">Sinabang, Indonesia</t>
  </si>
  <si>
    <t xml:space="preserve">M 6.7 - Mauritius - Reunion region</t>
  </si>
  <si>
    <t xml:space="preserve">12/05/2021 14:05</t>
  </si>
  <si>
    <t xml:space="preserve">Mauritius - Reunion region</t>
  </si>
  <si>
    <t xml:space="preserve">01/05/2021 01:27</t>
  </si>
  <si>
    <t xml:space="preserve">Japan</t>
  </si>
  <si>
    <t xml:space="preserve">M 6.5 - 207 km WSW of Haveluloto, Tonga</t>
  </si>
  <si>
    <t xml:space="preserve">25/04/2021 22:28</t>
  </si>
  <si>
    <t xml:space="preserve">Haveluloto, Tonga</t>
  </si>
  <si>
    <t xml:space="preserve">M 6.5 - 225 km WNW of Pangai, Tonga</t>
  </si>
  <si>
    <t xml:space="preserve">24/04/2021 00:23</t>
  </si>
  <si>
    <t xml:space="preserve">Pangai, Tonga</t>
  </si>
  <si>
    <t xml:space="preserve">M 7.0 - 30 km E of Ishinomaki, Japan</t>
  </si>
  <si>
    <t xml:space="preserve">20/03/2021 09:09</t>
  </si>
  <si>
    <t xml:space="preserve">Ishinomaki, Japan</t>
  </si>
  <si>
    <t xml:space="preserve">M 6.6 - 171 km SSE of Ust’-Kamchatsk Staryy, Russia</t>
  </si>
  <si>
    <t xml:space="preserve">16/03/2021 18:38</t>
  </si>
  <si>
    <t xml:space="preserve">Ust’-Kamchatsk Staryy, Russia</t>
  </si>
  <si>
    <t xml:space="preserve">04/03/2021 23:12</t>
  </si>
  <si>
    <t xml:space="preserve">M 8.1 - Kermadec Islands, New Zealand</t>
  </si>
  <si>
    <t xml:space="preserve">04/03/2021 19:28</t>
  </si>
  <si>
    <t xml:space="preserve">M 7.4 - Kermadec Islands, New Zealand</t>
  </si>
  <si>
    <t xml:space="preserve">04/03/2021 17:41</t>
  </si>
  <si>
    <t xml:space="preserve">M 7.3 - 182 km NE of Gisborne, New Zealand</t>
  </si>
  <si>
    <t xml:space="preserve">04/03/2021 13:27</t>
  </si>
  <si>
    <t xml:space="preserve">Gisborne, New Zealand</t>
  </si>
  <si>
    <t xml:space="preserve">M 7.1 - 73 km ENE of Namie, Japan</t>
  </si>
  <si>
    <t xml:space="preserve">13/02/2021 14:07</t>
  </si>
  <si>
    <t xml:space="preserve">10/02/2021 13:19</t>
  </si>
  <si>
    <t xml:space="preserve">M 6.9 - South Shetland Islands</t>
  </si>
  <si>
    <t xml:space="preserve">23/01/2021 23:36</t>
  </si>
  <si>
    <t xml:space="preserve">South Shetland Islands</t>
  </si>
  <si>
    <t xml:space="preserve">M 7.0 - 211 km SE of Pondaguitan, Philippines</t>
  </si>
  <si>
    <t xml:space="preserve">21/01/2021 12:23</t>
  </si>
  <si>
    <t xml:space="preserve">M 6.7 - 29 km SSW of Turt, Mongolia</t>
  </si>
  <si>
    <t xml:space="preserve">11/01/2021 21:32</t>
  </si>
  <si>
    <t xml:space="preserve">Turt, Mongolia</t>
  </si>
  <si>
    <t xml:space="preserve">Mongolia</t>
  </si>
  <si>
    <t xml:space="preserve">M 6.7 - 146 km WNW of Corral, Chile</t>
  </si>
  <si>
    <t xml:space="preserve">27/12/2020 21:39</t>
  </si>
  <si>
    <t xml:space="preserve">Corral, Chile</t>
  </si>
  <si>
    <t xml:space="preserve">M 7.0 - 13 km NNE of Néon Karlovásion, Greece</t>
  </si>
  <si>
    <t xml:space="preserve">30/10/2020 11:51</t>
  </si>
  <si>
    <t xml:space="preserve">Néon Karlovásion, Greece</t>
  </si>
  <si>
    <t xml:space="preserve">Europe</t>
  </si>
  <si>
    <t xml:space="preserve">Greece</t>
  </si>
  <si>
    <t xml:space="preserve">M 7.6 - 99 km SE of Sand Point, Alaska</t>
  </si>
  <si>
    <t xml:space="preserve">19/10/2020 20:54</t>
  </si>
  <si>
    <t xml:space="preserve">M 6.9 - central Mid-Atlantic Ridge</t>
  </si>
  <si>
    <t xml:space="preserve">18/09/2020 21:43</t>
  </si>
  <si>
    <t xml:space="preserve">central Mid-Atlantic Ridge</t>
  </si>
  <si>
    <t xml:space="preserve">M 6.5 - 94 km NW of Vallenar, Chile</t>
  </si>
  <si>
    <t xml:space="preserve">01/09/2020 21:09</t>
  </si>
  <si>
    <t xml:space="preserve">Vallenar, Chile</t>
  </si>
  <si>
    <t xml:space="preserve">M 6.8 - 86 km NW of Vallenar, Chile</t>
  </si>
  <si>
    <t xml:space="preserve">01/09/2020 04:09</t>
  </si>
  <si>
    <t xml:space="preserve">Chile</t>
  </si>
  <si>
    <t xml:space="preserve">M 6.5 - central Mid-Atlantic Ridge</t>
  </si>
  <si>
    <t xml:space="preserve">30/08/2020 21:20</t>
  </si>
  <si>
    <t xml:space="preserve">M 6.9 - 222 km SSE of Katabu, Indonesia</t>
  </si>
  <si>
    <t xml:space="preserve">21/08/2020 04:09</t>
  </si>
  <si>
    <t xml:space="preserve">Katabu, Indonesia</t>
  </si>
  <si>
    <t xml:space="preserve">M 6.9 - 122 km WSW of Bengkulu, Indonesia</t>
  </si>
  <si>
    <t xml:space="preserve">18/08/2020 22:29</t>
  </si>
  <si>
    <t xml:space="preserve">M 6.8 - 138 km WSW of Bengkulu, Indonesia</t>
  </si>
  <si>
    <t xml:space="preserve">18/08/2020 22:23</t>
  </si>
  <si>
    <t xml:space="preserve">M 6.6 - 13 km E of San Pedro, Philippines</t>
  </si>
  <si>
    <t xml:space="preserve">18/08/2020 00:03</t>
  </si>
  <si>
    <t xml:space="preserve">San Pedro, Philippines</t>
  </si>
  <si>
    <t xml:space="preserve">M 7.8 - 99 km SSE of Perryville, Alaska</t>
  </si>
  <si>
    <t xml:space="preserve">22/07/2020 06:12</t>
  </si>
  <si>
    <t xml:space="preserve">M 7.0 - 114 km NNW of Popondetta, Papua New Guinea</t>
  </si>
  <si>
    <t xml:space="preserve">17/07/2020 02:50</t>
  </si>
  <si>
    <t xml:space="preserve">Popondetta, Papua New Guinea</t>
  </si>
  <si>
    <t xml:space="preserve">M 6.6 - 97 km N of Batang, Indonesia</t>
  </si>
  <si>
    <t xml:space="preserve">06/07/2020 22:54</t>
  </si>
  <si>
    <t xml:space="preserve">Batang, Indonesia</t>
  </si>
  <si>
    <t xml:space="preserve">M 7.4 - 9 km SE of Santa María Xadani, Mexico</t>
  </si>
  <si>
    <t xml:space="preserve">23/06/2020 15:29</t>
  </si>
  <si>
    <t xml:space="preserve">Santa María Xadani, Mexico</t>
  </si>
  <si>
    <t xml:space="preserve">M 7.4 - south of the Kermadec Islands</t>
  </si>
  <si>
    <t xml:space="preserve">18/06/2020 12:49</t>
  </si>
  <si>
    <t xml:space="preserve">M 6.6 - 130 km WNW of Naze, Japan</t>
  </si>
  <si>
    <t xml:space="preserve">13/06/2020 15:51</t>
  </si>
  <si>
    <t xml:space="preserve">Naze, Japan</t>
  </si>
  <si>
    <t xml:space="preserve">M 6.8 - 48 km SW of San Pedro de Atacama, Chile</t>
  </si>
  <si>
    <t xml:space="preserve">03/06/2020 07:35</t>
  </si>
  <si>
    <t xml:space="preserve">San Pedro de Atacama, Chile</t>
  </si>
  <si>
    <t xml:space="preserve">M 6.5 - Monte Cristo Range, NV Earthquake</t>
  </si>
  <si>
    <t xml:space="preserve">15/05/2020 11:03</t>
  </si>
  <si>
    <t xml:space="preserve">nn</t>
  </si>
  <si>
    <t xml:space="preserve">ml</t>
  </si>
  <si>
    <t xml:space="preserve">Monte Cristo Range, NV Earthquake</t>
  </si>
  <si>
    <t xml:space="preserve">M 6.6 - 175 km SSE of Lata, Solomon Islands</t>
  </si>
  <si>
    <t xml:space="preserve">12/05/2020 22:41</t>
  </si>
  <si>
    <t xml:space="preserve">Lata, Solomon Islands</t>
  </si>
  <si>
    <t xml:space="preserve">M 6.8 - Banda Sea</t>
  </si>
  <si>
    <t xml:space="preserve">06/05/2020 13:53</t>
  </si>
  <si>
    <t xml:space="preserve">Banda Sea</t>
  </si>
  <si>
    <t xml:space="preserve">M 6.5 - 91 km S of Néa Anatolí, Greece</t>
  </si>
  <si>
    <t xml:space="preserve">02/05/2020 12:51</t>
  </si>
  <si>
    <t xml:space="preserve">Néa Anatolí, Greece</t>
  </si>
  <si>
    <t xml:space="preserve">M 6.5 - Stanley, Idaho</t>
  </si>
  <si>
    <t xml:space="preserve">31/03/2020 23:52</t>
  </si>
  <si>
    <t xml:space="preserve">Stanley, Idaho</t>
  </si>
  <si>
    <t xml:space="preserve">M 7.5 - 221 km SSE of Severo-Kuril’sk, Russia</t>
  </si>
  <si>
    <t xml:space="preserve">25/03/2020 02:49</t>
  </si>
  <si>
    <t xml:space="preserve">Severo-Kuril’sk, Russia</t>
  </si>
  <si>
    <t xml:space="preserve">M 7.0 - 95 km ENE of Kuril’sk, Russia</t>
  </si>
  <si>
    <t xml:space="preserve">13/02/2020 10:33</t>
  </si>
  <si>
    <t xml:space="preserve">Kuril’sk, Russia</t>
  </si>
  <si>
    <t xml:space="preserve">Russia</t>
  </si>
  <si>
    <t xml:space="preserve">M 7.7 - 123 km NNW of Lucea, Jamaica</t>
  </si>
  <si>
    <t xml:space="preserve">28/01/2020 19:10</t>
  </si>
  <si>
    <t xml:space="preserve">Lucea, Jamaica</t>
  </si>
  <si>
    <t xml:space="preserve">M 6.7 - 13 km N of Do?anyol, Turkey</t>
  </si>
  <si>
    <t xml:space="preserve">24/01/2020 17:55</t>
  </si>
  <si>
    <t xml:space="preserve">Do?anyol, Turkey</t>
  </si>
  <si>
    <t xml:space="preserve">Turkey</t>
  </si>
  <si>
    <t xml:space="preserve">M 6.8 - 7 km S of Magsaysay, Philippines</t>
  </si>
  <si>
    <t xml:space="preserve">15/12/2019 06:11</t>
  </si>
  <si>
    <t xml:space="preserve">Magsaysay, Philippines</t>
  </si>
  <si>
    <t xml:space="preserve">M 7.1 - 138km E of Bitung, Indonesia</t>
  </si>
  <si>
    <t xml:space="preserve">14/11/2019 16:17</t>
  </si>
  <si>
    <t xml:space="preserve">Bitung, Indonesia</t>
  </si>
  <si>
    <t xml:space="preserve">M 6.5 - 166km SSW of Ndoi Island, Fiji</t>
  </si>
  <si>
    <t xml:space="preserve">08/11/2019 10:44</t>
  </si>
  <si>
    <t xml:space="preserve">Ndoi Island, Fiji</t>
  </si>
  <si>
    <t xml:space="preserve">M 6.6 - 136 km W of Neiafu, Tonga</t>
  </si>
  <si>
    <t xml:space="preserve">04/11/2019 22:43</t>
  </si>
  <si>
    <t xml:space="preserve">M 6.5 - 2km ESE of Kisante, Philippines</t>
  </si>
  <si>
    <t xml:space="preserve">31/10/2019 01:11</t>
  </si>
  <si>
    <t xml:space="preserve">Kisante, Philippines</t>
  </si>
  <si>
    <t xml:space="preserve">M 6.6 - 10 km NE of Columbio, Philippines</t>
  </si>
  <si>
    <t xml:space="preserve">29/10/2019 01:04</t>
  </si>
  <si>
    <t xml:space="preserve">Columbio, Philippines</t>
  </si>
  <si>
    <t xml:space="preserve">M 6.7 - 70 km WSW of Constitución, Chile</t>
  </si>
  <si>
    <t xml:space="preserve">29/09/2019 15:57</t>
  </si>
  <si>
    <t xml:space="preserve">Constitución, Chile</t>
  </si>
  <si>
    <t xml:space="preserve">M 6.5 - 11km S of Kairatu, Indonesia</t>
  </si>
  <si>
    <t xml:space="preserve">25/09/2019 23:46</t>
  </si>
  <si>
    <t xml:space="preserve">Kairatu, Indonesia</t>
  </si>
  <si>
    <t xml:space="preserve">M 6.6 - 34km NNE of Ndoi Island, Fiji</t>
  </si>
  <si>
    <t xml:space="preserve">01/09/2019 15:54</t>
  </si>
  <si>
    <t xml:space="preserve">M 6.6 - 131km S of Bristol Island, South Sandwich Islands</t>
  </si>
  <si>
    <t xml:space="preserve">27/08/2019 23:55</t>
  </si>
  <si>
    <t xml:space="preserve">Bristol Island, South Sandwich Islands</t>
  </si>
  <si>
    <t xml:space="preserve">United Kingdom of Great Britain and Northern Ireland (the)</t>
  </si>
  <si>
    <t xml:space="preserve">M 6.9 - 152 km SW of Labuan, Indonesia</t>
  </si>
  <si>
    <t xml:space="preserve">02/08/2019 12:03</t>
  </si>
  <si>
    <t xml:space="preserve">M 6.8 - 96 km SW of San Antonio, Chile</t>
  </si>
  <si>
    <t xml:space="preserve">01/08/2019 18:28</t>
  </si>
  <si>
    <t xml:space="preserve">San Antonio, Chile</t>
  </si>
  <si>
    <t xml:space="preserve">M 6.6 - 62km E of Lakatoro, Vanuatu</t>
  </si>
  <si>
    <t xml:space="preserve">31/07/2019 15:02</t>
  </si>
  <si>
    <t xml:space="preserve">Lakatoro, Vanuatu</t>
  </si>
  <si>
    <t xml:space="preserve">M 7.2 - 93km NNE of Laiwui, Indonesia</t>
  </si>
  <si>
    <t xml:space="preserve">14/07/2019 09:10</t>
  </si>
  <si>
    <t xml:space="preserve">Laiwui, Indonesia</t>
  </si>
  <si>
    <t xml:space="preserve">M 6.6 - 200km W of Broome, Australia</t>
  </si>
  <si>
    <t xml:space="preserve">14/07/2019 05:39</t>
  </si>
  <si>
    <t xml:space="preserve">Broome, Australia</t>
  </si>
  <si>
    <t xml:space="preserve">M 6.9 - 134km WSW of Kota Ternate, Indonesia</t>
  </si>
  <si>
    <t xml:space="preserve">07/07/2019 15:08</t>
  </si>
  <si>
    <t xml:space="preserve">Kota Ternate, Indonesia</t>
  </si>
  <si>
    <t xml:space="preserve">M 7.1 - 18km W of Searles Valley, CA</t>
  </si>
  <si>
    <t xml:space="preserve">06/07/2019 03:19</t>
  </si>
  <si>
    <t xml:space="preserve">ci</t>
  </si>
  <si>
    <t xml:space="preserve">mw</t>
  </si>
  <si>
    <t xml:space="preserve">Searles Valley, CA</t>
  </si>
  <si>
    <t xml:space="preserve">M 7.3 - 292km NW of Saumlaki, Indonesia</t>
  </si>
  <si>
    <t xml:space="preserve">24/06/2019 02:53</t>
  </si>
  <si>
    <t xml:space="preserve">Saumlaki, Indonesia</t>
  </si>
  <si>
    <t xml:space="preserve">M 7.3 - 116km NE of L'Esperance Rock, New Zealand</t>
  </si>
  <si>
    <t xml:space="preserve">15/06/2019 22:55</t>
  </si>
  <si>
    <t xml:space="preserve">L'Esperance Rock, New Zealand</t>
  </si>
  <si>
    <t xml:space="preserve">M 6.6 - 32 km S of La Libertad, El Salvador</t>
  </si>
  <si>
    <t xml:space="preserve">30/05/2019 09:03</t>
  </si>
  <si>
    <t xml:space="preserve">La Libertad, El Salvador</t>
  </si>
  <si>
    <t xml:space="preserve">M 8.0 - 78 km NE of Navarro, Peru</t>
  </si>
  <si>
    <t xml:space="preserve">26/05/2019 07:41</t>
  </si>
  <si>
    <t xml:space="preserve">Navarro, Peru</t>
  </si>
  <si>
    <t xml:space="preserve">M 7.6 - 46km SSE of Namatanai, Papua New Guinea</t>
  </si>
  <si>
    <t xml:space="preserve">14/05/2019 12:58</t>
  </si>
  <si>
    <t xml:space="preserve">Namatanai, Papua New Guinea</t>
  </si>
  <si>
    <t xml:space="preserve">M 7.1 - 33km NW of Bulolo, Papua New Guinea</t>
  </si>
  <si>
    <t xml:space="preserve">06/05/2019 21:19</t>
  </si>
  <si>
    <t xml:space="preserve">Bulolo, Papua New Guinea</t>
  </si>
  <si>
    <t xml:space="preserve">M 6.8 - 98km SSW of Luwuk, Indonesia</t>
  </si>
  <si>
    <t xml:space="preserve">12/04/2019 11:40</t>
  </si>
  <si>
    <t xml:space="preserve">Luwuk, Indonesia</t>
  </si>
  <si>
    <t xml:space="preserve">M 6.5 - 83km ENE of Bristol Island, South Sandwich Islands</t>
  </si>
  <si>
    <t xml:space="preserve">09/04/2019 17:53</t>
  </si>
  <si>
    <t xml:space="preserve">M 7.0 - 22 km NNE of Azángaro, Peru</t>
  </si>
  <si>
    <t xml:space="preserve">01/03/2019 08:50</t>
  </si>
  <si>
    <t xml:space="preserve">M 7.5 - 111km ESE of Palora, Ecuador</t>
  </si>
  <si>
    <t xml:space="preserve">22/02/2019 10:17</t>
  </si>
  <si>
    <t xml:space="preserve">Palora, Ecuador</t>
  </si>
  <si>
    <t xml:space="preserve">M 6.7 - 5 km SW of Puerto Madero, Mexico</t>
  </si>
  <si>
    <t xml:space="preserve">01/02/2019 16:14</t>
  </si>
  <si>
    <t xml:space="preserve">Puerto Madero, Mexico</t>
  </si>
  <si>
    <t xml:space="preserve">M 6.7 - Prince Edward Islands region</t>
  </si>
  <si>
    <t xml:space="preserve">22/01/2019 19:01</t>
  </si>
  <si>
    <t xml:space="preserve">Prince Edward Islands region</t>
  </si>
  <si>
    <t xml:space="preserve">M 6.7 - 10 km SSW of Coquimbo, Chile</t>
  </si>
  <si>
    <t xml:space="preserve">20/01/2019 01:32</t>
  </si>
  <si>
    <t xml:space="preserve">Coquimbo, Chile</t>
  </si>
  <si>
    <t xml:space="preserve">M 6.6 - 94 km NW of Sola, Vanuatu</t>
  </si>
  <si>
    <t xml:space="preserve">15/01/2019 18:06</t>
  </si>
  <si>
    <t xml:space="preserve">M 6.6 - Molucca Sea</t>
  </si>
  <si>
    <t xml:space="preserve">06/01/2019 17:27</t>
  </si>
  <si>
    <t xml:space="preserve">Molucca Sea</t>
  </si>
  <si>
    <t xml:space="preserve">M 6.8 - 90km W of Tarauaca, Brazil</t>
  </si>
  <si>
    <t xml:space="preserve">05/01/2019 19:25</t>
  </si>
  <si>
    <t xml:space="preserve">Tarauaca, Brazil</t>
  </si>
  <si>
    <t xml:space="preserve">M 7.0 - 96 km ESE of Pondaguitan, Philippines</t>
  </si>
  <si>
    <t xml:space="preserve">29/12/2018 03:39</t>
  </si>
  <si>
    <t xml:space="preserve">M 7.3 - 187 km SE of Ust’-Kamchatsk Staryy, Russia</t>
  </si>
  <si>
    <t xml:space="preserve">20/12/2018 17:01</t>
  </si>
  <si>
    <t xml:space="preserve">11/12/2018 02:26</t>
  </si>
  <si>
    <t xml:space="preserve">South Georgia and the South Sandwich Islands</t>
  </si>
  <si>
    <t xml:space="preserve">M 6.6 - 199 km ESE of Tadine, New Caledonia</t>
  </si>
  <si>
    <t xml:space="preserve">05/12/2018 06:43</t>
  </si>
  <si>
    <t xml:space="preserve">M 7.5 - 166 km ESE of Tadine, New Caledonia</t>
  </si>
  <si>
    <t xml:space="preserve">05/12/2018 04:18</t>
  </si>
  <si>
    <t xml:space="preserve">M 7.1 - 1 km SE of Point MacKenzie, Alaska</t>
  </si>
  <si>
    <t xml:space="preserve">30/11/2018 17:29</t>
  </si>
  <si>
    <t xml:space="preserve">Point MacKenzie, Alaska</t>
  </si>
  <si>
    <t xml:space="preserve">M 6.8 - 187 km E of Levuka, Fiji</t>
  </si>
  <si>
    <t xml:space="preserve">18/11/2018 20:25</t>
  </si>
  <si>
    <t xml:space="preserve">Levuka, Fiji</t>
  </si>
  <si>
    <t xml:space="preserve">M 6.7 - 120 km NW of Olonkinbyen, Svalbard and Jan Mayen</t>
  </si>
  <si>
    <t xml:space="preserve">09/11/2018 01:49</t>
  </si>
  <si>
    <t xml:space="preserve">Olonkinbyen, Svalbard and Jan Mayen</t>
  </si>
  <si>
    <t xml:space="preserve">M 6.8 - 32 km SW of Lithakiá, Greece</t>
  </si>
  <si>
    <t xml:space="preserve">25/10/2018 22:54</t>
  </si>
  <si>
    <t xml:space="preserve">Lithakiá, Greece</t>
  </si>
  <si>
    <t xml:space="preserve">M 6.5 - 237 km SW of Port McNeill, Canada</t>
  </si>
  <si>
    <t xml:space="preserve">22/10/2018 06:22</t>
  </si>
  <si>
    <t xml:space="preserve">Port McNeill, Canada</t>
  </si>
  <si>
    <t xml:space="preserve">M 6.8 - 210 km SW of Port McNeill, Canada</t>
  </si>
  <si>
    <t xml:space="preserve">22/10/2018 06:16</t>
  </si>
  <si>
    <t xml:space="preserve">M 6.5 - 223 km SW of Port McNeill, Canada</t>
  </si>
  <si>
    <t xml:space="preserve">22/10/2018 05:39</t>
  </si>
  <si>
    <t xml:space="preserve">M 6.5 - 171 km E of Tadine, New Caledonia</t>
  </si>
  <si>
    <t xml:space="preserve">16/10/2018 01:03</t>
  </si>
  <si>
    <t xml:space="preserve">M 6.7 - 269 km WNW of Ozernovskiy, Russia</t>
  </si>
  <si>
    <t xml:space="preserve">13/10/2018 11:10</t>
  </si>
  <si>
    <t xml:space="preserve">Ozernovskiy, Russia</t>
  </si>
  <si>
    <t xml:space="preserve">M 6.5 - 154 km S of Severo-Kuril’sk, Russia</t>
  </si>
  <si>
    <t xml:space="preserve">10/10/2018 23:16</t>
  </si>
  <si>
    <t xml:space="preserve">M 7.0 - 119 km E of Kimbe, Papua New Guinea</t>
  </si>
  <si>
    <t xml:space="preserve">10/10/2018 20:48</t>
  </si>
  <si>
    <t xml:space="preserve">M 6.7 - 279 km E of Levuka, Fiji</t>
  </si>
  <si>
    <t xml:space="preserve">30/09/2018 10:52</t>
  </si>
  <si>
    <t xml:space="preserve">M 7.5 - 72 km N of Palu, Indonesia</t>
  </si>
  <si>
    <t xml:space="preserve">28/09/2018 10:02</t>
  </si>
  <si>
    <t xml:space="preserve">Palu, Indonesia</t>
  </si>
  <si>
    <t xml:space="preserve">M 6.5 - south of the Fiji Islands</t>
  </si>
  <si>
    <t xml:space="preserve">16/09/2018 21:11</t>
  </si>
  <si>
    <t xml:space="preserve">M 6.9 - Kermadec Islands region</t>
  </si>
  <si>
    <t xml:space="preserve">10/09/2018 04:19</t>
  </si>
  <si>
    <t xml:space="preserve">M 6.5 - 66 km NW of Kirakira, Solomon Islands</t>
  </si>
  <si>
    <t xml:space="preserve">09/09/2018 19:31</t>
  </si>
  <si>
    <t xml:space="preserve">Kirakira, Solomon Islands</t>
  </si>
  <si>
    <t xml:space="preserve">M 7.9 - 45 km S of Levuka, Fiji</t>
  </si>
  <si>
    <t xml:space="preserve">06/09/2018 15:49</t>
  </si>
  <si>
    <t xml:space="preserve">M 6.6 - 27 km ESE of Chitose, Japan</t>
  </si>
  <si>
    <t xml:space="preserve">05/09/2018 18:07</t>
  </si>
  <si>
    <t xml:space="preserve">Chitose, Japan</t>
  </si>
  <si>
    <t xml:space="preserve">M 7.1 - 238 km ESE of Tadine, New Caledonia</t>
  </si>
  <si>
    <t xml:space="preserve">29/08/2018 03:51</t>
  </si>
  <si>
    <t xml:space="preserve">M 7.1 - 136 km W of Iñapari, Peru</t>
  </si>
  <si>
    <t xml:space="preserve">24/08/2018 09:04</t>
  </si>
  <si>
    <t xml:space="preserve">Iñapari, Peru</t>
  </si>
  <si>
    <t xml:space="preserve">M 6.5 - 78 km E of Lakatoro, Vanuatu</t>
  </si>
  <si>
    <t xml:space="preserve">21/08/2018 22:32</t>
  </si>
  <si>
    <t xml:space="preserve">M 7.3 - 40 km ENE of Carúpano, Venezuela</t>
  </si>
  <si>
    <t xml:space="preserve">21/08/2018 21:31</t>
  </si>
  <si>
    <t xml:space="preserve">Carúpano, Venezuela</t>
  </si>
  <si>
    <t xml:space="preserve">Venezuela</t>
  </si>
  <si>
    <t xml:space="preserve">M 6.9 - 20 km NNW of Labuan Lombok, Indonesia</t>
  </si>
  <si>
    <t xml:space="preserve">19/08/2018 14:56</t>
  </si>
  <si>
    <t xml:space="preserve">Labuan Lombok, Indonesia</t>
  </si>
  <si>
    <t xml:space="preserve">M 8.2 - 267 km E of Levuka, Fiji</t>
  </si>
  <si>
    <t xml:space="preserve">19/08/2018 00:19</t>
  </si>
  <si>
    <t xml:space="preserve">M 6.5 - 124 km N of Labuan Bajo, Indonesia</t>
  </si>
  <si>
    <t xml:space="preserve">17/08/2018 15:35</t>
  </si>
  <si>
    <t xml:space="preserve">Labuan Bajo, Indonesia</t>
  </si>
  <si>
    <t xml:space="preserve">M 6.5 - 108 km WSW of Adak, Alaska</t>
  </si>
  <si>
    <t xml:space="preserve">15/08/2018 21:56</t>
  </si>
  <si>
    <t xml:space="preserve">Adak, Alaska</t>
  </si>
  <si>
    <t xml:space="preserve">M 6.9 - 36 km NW of Labuan Lombok, Indonesia</t>
  </si>
  <si>
    <t xml:space="preserve">05/08/2018 11:46</t>
  </si>
  <si>
    <t xml:space="preserve">M 6.9 - 18 km SSW of Leilani Estates, Hawaii</t>
  </si>
  <si>
    <t xml:space="preserve">04/05/2018 22:32</t>
  </si>
  <si>
    <t xml:space="preserve">hv</t>
  </si>
  <si>
    <t xml:space="preserve">Leilani Estates, Hawaii</t>
  </si>
  <si>
    <t xml:space="preserve">M 6.8 - 38 km SE of Boyuibe, Bolivia</t>
  </si>
  <si>
    <t xml:space="preserve">02/04/2018 13:40</t>
  </si>
  <si>
    <t xml:space="preserve">Boyuibe, Bolivia</t>
  </si>
  <si>
    <t xml:space="preserve">Bolivia</t>
  </si>
  <si>
    <t xml:space="preserve">M 6.9 - 150 km E of Kimbe, Papua New Guinea</t>
  </si>
  <si>
    <t xml:space="preserve">29/03/2018 21:25</t>
  </si>
  <si>
    <t xml:space="preserve">M 6.7 - 140 km E of Kimbe, Papua New Guinea</t>
  </si>
  <si>
    <t xml:space="preserve">26/03/2018 09:51</t>
  </si>
  <si>
    <t xml:space="preserve">M 6.8 - 103 km E of Kokopo, Papua New Guinea</t>
  </si>
  <si>
    <t xml:space="preserve">08/03/2018 17:39</t>
  </si>
  <si>
    <t xml:space="preserve">Kokopo, Papua New Guinea</t>
  </si>
  <si>
    <t xml:space="preserve">M 6.7 - 62 km SW of Tari, Papua New Guinea</t>
  </si>
  <si>
    <t xml:space="preserve">06/03/2018 14:13</t>
  </si>
  <si>
    <t xml:space="preserve">Tari, Papua New Guinea</t>
  </si>
  <si>
    <t xml:space="preserve">M 7.5 - 32 km SW of Tari, Papua New Guinea</t>
  </si>
  <si>
    <t xml:space="preserve">25/02/2018 17:44</t>
  </si>
  <si>
    <t xml:space="preserve">M 7.2 - 4 km S of Pinotepa de Don Luis, Mexico</t>
  </si>
  <si>
    <t xml:space="preserve">16/02/2018 23:39</t>
  </si>
  <si>
    <t xml:space="preserve">Pinotepa de Don Luis, Mexico</t>
  </si>
  <si>
    <t xml:space="preserve">M 7.9 - 261 km SE of Chiniak, Alaska</t>
  </si>
  <si>
    <t xml:space="preserve">23/01/2018 09:31</t>
  </si>
  <si>
    <t xml:space="preserve">Chiniak, Alaska</t>
  </si>
  <si>
    <t xml:space="preserve">M 7.1 - 37 km W of Atiquipa, Peru</t>
  </si>
  <si>
    <t xml:space="preserve">14/01/2018 09:18</t>
  </si>
  <si>
    <t xml:space="preserve">Atiquipa, Peru</t>
  </si>
  <si>
    <t xml:space="preserve">M 7.5 - 203 km NNE of Barra Patuca, Honduras</t>
  </si>
  <si>
    <t xml:space="preserve">10/01/2018 02:51</t>
  </si>
  <si>
    <t xml:space="preserve">Barra Patuca, Honduras</t>
  </si>
  <si>
    <t xml:space="preserve">M 6.5 - 12 km SSW of Kawalu, Indonesia</t>
  </si>
  <si>
    <t xml:space="preserve">15/12/2017 16:47</t>
  </si>
  <si>
    <t xml:space="preserve">Kawalu, Indonesia</t>
  </si>
  <si>
    <t xml:space="preserve">M 6.5 - Bouvet Island region</t>
  </si>
  <si>
    <t xml:space="preserve">13/12/2017 18:03</t>
  </si>
  <si>
    <t xml:space="preserve">Bouvet Island region</t>
  </si>
  <si>
    <t xml:space="preserve">M 7.0 - 85 km ENE of Tadine, New Caledonia</t>
  </si>
  <si>
    <t xml:space="preserve">19/11/2017 22:43</t>
  </si>
  <si>
    <t xml:space="preserve">M 6.6 - 74 km E of Tadine, New Caledonia</t>
  </si>
  <si>
    <t xml:space="preserve">19/11/2017 15:09</t>
  </si>
  <si>
    <t xml:space="preserve">M 6.5 - 18 km W of Parrita, Costa Rica</t>
  </si>
  <si>
    <t xml:space="preserve">13/11/2017 02:28</t>
  </si>
  <si>
    <t xml:space="preserve">Parrita, Costa Rica</t>
  </si>
  <si>
    <t xml:space="preserve">Costa Rica</t>
  </si>
  <si>
    <t xml:space="preserve">M 7.3 - 29 km S of ?alabja, Iraq</t>
  </si>
  <si>
    <t xml:space="preserve">12/11/2017 18:18</t>
  </si>
  <si>
    <t xml:space="preserve">?alabja, Iraq</t>
  </si>
  <si>
    <t xml:space="preserve">Iran</t>
  </si>
  <si>
    <t xml:space="preserve">M 6.5 - 67 km WSW of Angoram, Papua New Guinea</t>
  </si>
  <si>
    <t xml:space="preserve">07/11/2017 21:26</t>
  </si>
  <si>
    <t xml:space="preserve">Angoram, Papua New Guinea</t>
  </si>
  <si>
    <t xml:space="preserve">M 6.8 - 97 km NE of Hihifo, Tonga</t>
  </si>
  <si>
    <t xml:space="preserve">04/11/2017 09:00</t>
  </si>
  <si>
    <t xml:space="preserve">M 6.6 - 101 km E of Tadine, New Caledonia</t>
  </si>
  <si>
    <t xml:space="preserve">01/11/2017 02:23</t>
  </si>
  <si>
    <t xml:space="preserve">M 6.7 - 132 km E of Tadine, New Caledonia</t>
  </si>
  <si>
    <t xml:space="preserve">31/10/2017 00:42</t>
  </si>
  <si>
    <t xml:space="preserve">M 6.7 - 181 km NNE of Maumere, Indonesia</t>
  </si>
  <si>
    <t xml:space="preserve">24/10/2017 10:47</t>
  </si>
  <si>
    <t xml:space="preserve">Maumere, Indonesia</t>
  </si>
  <si>
    <t xml:space="preserve">M 6.5 - 247 km ESE of Attu Station, Alaska</t>
  </si>
  <si>
    <t xml:space="preserve">08/10/2017 22:34</t>
  </si>
  <si>
    <t xml:space="preserve">Attu Station, Alaska</t>
  </si>
  <si>
    <t xml:space="preserve">M 7.1 - 1 km S of Matzaco, Mexico</t>
  </si>
  <si>
    <t xml:space="preserve">19/09/2017 18:14</t>
  </si>
  <si>
    <t xml:space="preserve">Matzaco, Mexico</t>
  </si>
  <si>
    <t xml:space="preserve">M 8.2 - near the coast of Chiapas, Mexico</t>
  </si>
  <si>
    <t xml:space="preserve">08/09/2017 04:49</t>
  </si>
  <si>
    <t xml:space="preserve">Chiapas, Mexico</t>
  </si>
  <si>
    <t xml:space="preserve">M 6.5 - 168 km SW of Mawu, China</t>
  </si>
  <si>
    <t xml:space="preserve">08/08/2017 13:19</t>
  </si>
  <si>
    <t xml:space="preserve">Mawu, China</t>
  </si>
  <si>
    <t xml:space="preserve">M 6.6 - 11 km ENE of Kos, Greece</t>
  </si>
  <si>
    <t xml:space="preserve">20/07/2017 22:31</t>
  </si>
  <si>
    <t xml:space="preserve">Kos, Greece</t>
  </si>
  <si>
    <t xml:space="preserve">M 7.7 - Komandorskiye Ostrova, Russia region</t>
  </si>
  <si>
    <t xml:space="preserve">17/07/2017 23:34</t>
  </si>
  <si>
    <t xml:space="preserve">Komandorskiye Ostrova, Russia region</t>
  </si>
  <si>
    <t xml:space="preserve">M 6.6 - Auckland Islands, New Zealand region</t>
  </si>
  <si>
    <t xml:space="preserve">11/07/2017 07:00</t>
  </si>
  <si>
    <t xml:space="preserve">Auckland Islands, New Zealand region</t>
  </si>
  <si>
    <t xml:space="preserve">M 6.5 - 2 km S of Lim-oo, Philippines</t>
  </si>
  <si>
    <t xml:space="preserve">06/07/2017 08:03</t>
  </si>
  <si>
    <t xml:space="preserve">Lim-oo, Philippines</t>
  </si>
  <si>
    <t xml:space="preserve">M 6.8 - 28 km SW of Puerto San José, Guatemala</t>
  </si>
  <si>
    <t xml:space="preserve">22/06/2017 12:31</t>
  </si>
  <si>
    <t xml:space="preserve">Puerto San José, Guatemala</t>
  </si>
  <si>
    <t xml:space="preserve">M 6.9 - 2 km SSW of San Pablo, Guatemala</t>
  </si>
  <si>
    <t xml:space="preserve">14/06/2017 07:29</t>
  </si>
  <si>
    <t xml:space="preserve">San Pablo, Guatemala</t>
  </si>
  <si>
    <t xml:space="preserve">Guatemala</t>
  </si>
  <si>
    <t xml:space="preserve">M 6.8 - 200 km NW of Attu Station, Alaska</t>
  </si>
  <si>
    <t xml:space="preserve">02/06/2017 22:24</t>
  </si>
  <si>
    <t xml:space="preserve">M 6.6 - 37 km WNW of Poso, Indonesia</t>
  </si>
  <si>
    <t xml:space="preserve">29/05/2017 14:35</t>
  </si>
  <si>
    <t xml:space="preserve">Poso, Indonesia</t>
  </si>
  <si>
    <t xml:space="preserve">M 6.5 - South Sandwich Islands region</t>
  </si>
  <si>
    <t xml:space="preserve">10/05/2017 23:23</t>
  </si>
  <si>
    <t xml:space="preserve">M 6.8 - 59 km NNE of Port-Olry, Vanuatu</t>
  </si>
  <si>
    <t xml:space="preserve">09/05/2017 13:52</t>
  </si>
  <si>
    <t xml:space="preserve">M 6.9 - 31 km SW of Burias, Philippines</t>
  </si>
  <si>
    <t xml:space="preserve">28/04/2017 20:23</t>
  </si>
  <si>
    <t xml:space="preserve">Burias, Philippines</t>
  </si>
  <si>
    <t xml:space="preserve">M 6.9 - 40 km W of Valparaíso, Chile</t>
  </si>
  <si>
    <t xml:space="preserve">24/04/2017 21:38</t>
  </si>
  <si>
    <t xml:space="preserve">Valparaíso, Chile</t>
  </si>
  <si>
    <t xml:space="preserve">M 6.5 - 132 km WSW of Moijabana, Botswana</t>
  </si>
  <si>
    <t xml:space="preserve">03/04/2017 17:40</t>
  </si>
  <si>
    <t xml:space="preserve">Moijabana, Botswana</t>
  </si>
  <si>
    <t xml:space="preserve">Africa</t>
  </si>
  <si>
    <t xml:space="preserve">Botswana</t>
  </si>
  <si>
    <t xml:space="preserve">M 6.6 - 81 km NNE of Ust’-Kamchatsk Staryy, Russia</t>
  </si>
  <si>
    <t xml:space="preserve">29/03/2017 04:09</t>
  </si>
  <si>
    <t xml:space="preserve">M 6.9 - south of the Fiji Islands</t>
  </si>
  <si>
    <t xml:space="preserve">24/02/2017 17:28</t>
  </si>
  <si>
    <t xml:space="preserve">M 6.5 - 41 km E of Padilla, Bolivia</t>
  </si>
  <si>
    <t xml:space="preserve">21/02/2017 14:09</t>
  </si>
  <si>
    <t xml:space="preserve">Padilla, Bolivia</t>
  </si>
  <si>
    <t xml:space="preserve">M 6.5 - 11 km N of Mabua, Philippines</t>
  </si>
  <si>
    <t xml:space="preserve">10/02/2017 14:03</t>
  </si>
  <si>
    <t xml:space="preserve">Mabua, Philippines</t>
  </si>
  <si>
    <t xml:space="preserve">M 7.9 - 35 km WNW of Panguna, Papua New Guinea</t>
  </si>
  <si>
    <t xml:space="preserve">22/01/2017 04:30</t>
  </si>
  <si>
    <t xml:space="preserve">Panguna, Papua New Guinea</t>
  </si>
  <si>
    <t xml:space="preserve">M 6.5 - 65 km W of Kirakira, Solomon Islands</t>
  </si>
  <si>
    <t xml:space="preserve">19/01/2017 23:04</t>
  </si>
  <si>
    <t xml:space="preserve">M 7.3 - 189 km SSE of Tabiauan, Philippines</t>
  </si>
  <si>
    <t xml:space="preserve">10/01/2017 06:13</t>
  </si>
  <si>
    <t xml:space="preserve">Tabiauan, Philippines</t>
  </si>
  <si>
    <t xml:space="preserve">M 6.9 - 225 km SW of Nadi, Fiji</t>
  </si>
  <si>
    <t xml:space="preserve">03/01/2017 21:52</t>
  </si>
  <si>
    <t xml:space="preserve">Nadi, Fiji</t>
  </si>
  <si>
    <t xml:space="preserve">M 7.6 - 41 km SW of Quellón, Chile</t>
  </si>
  <si>
    <t xml:space="preserve">25/12/2016 14:22</t>
  </si>
  <si>
    <t xml:space="preserve">Quellón, Chile</t>
  </si>
  <si>
    <t xml:space="preserve">M 6.7 - 151 km NE of Lospalos, Timor Leste</t>
  </si>
  <si>
    <t xml:space="preserve">21/12/2016 00:17</t>
  </si>
  <si>
    <t xml:space="preserve">M 7.9 - 140 km E of Kokopo, Papua New Guinea</t>
  </si>
  <si>
    <t xml:space="preserve">17/12/2016 10:51</t>
  </si>
  <si>
    <t xml:space="preserve">M 6.9 - 92 km WSW of Kirakira, Solomon Islands</t>
  </si>
  <si>
    <t xml:space="preserve">09/12/2016 19:10</t>
  </si>
  <si>
    <t xml:space="preserve">M 6.5 - 79 km WSW of Kirakira, Solomon Islands</t>
  </si>
  <si>
    <t xml:space="preserve">08/12/2016 21:56</t>
  </si>
  <si>
    <t xml:space="preserve">M 7.8 - 69 km WSW of Kirakira, Solomon Islands</t>
  </si>
  <si>
    <t xml:space="preserve">08/12/2016 17:38</t>
  </si>
  <si>
    <t xml:space="preserve">M 6.6 - 164 km W of Ferndale, California</t>
  </si>
  <si>
    <t xml:space="preserve">08/12/2016 14:49</t>
  </si>
  <si>
    <t xml:space="preserve">Ferndale, California</t>
  </si>
  <si>
    <t xml:space="preserve">M 6.5 - 14 km WNW of Reuleuet, Indonesia</t>
  </si>
  <si>
    <t xml:space="preserve">06/12/2016 22:03</t>
  </si>
  <si>
    <t xml:space="preserve">Reuleuet, Indonesia</t>
  </si>
  <si>
    <t xml:space="preserve">M 6.6 - 122 km N of Murghob, Tajikistan</t>
  </si>
  <si>
    <t xml:space="preserve">25/11/2016 14:24</t>
  </si>
  <si>
    <t xml:space="preserve">M 6.9 - 156 km SSW of Puerto El Triunfo, El Salvador</t>
  </si>
  <si>
    <t xml:space="preserve">24/11/2016 18:43</t>
  </si>
  <si>
    <t xml:space="preserve">Puerto El Triunfo, El Salvador</t>
  </si>
  <si>
    <t xml:space="preserve">M 6.9 - 35 km ESE of Namie, Japan</t>
  </si>
  <si>
    <t xml:space="preserve">21/11/2016 20:59</t>
  </si>
  <si>
    <t xml:space="preserve">M 6.5 - 74 km NE of Amberley, New Zealand</t>
  </si>
  <si>
    <t xml:space="preserve">14/11/2016 00:34</t>
  </si>
  <si>
    <t xml:space="preserve">Amberley, New Zealand</t>
  </si>
  <si>
    <t xml:space="preserve">New Zealand</t>
  </si>
  <si>
    <t xml:space="preserve">M 6.5 - 92 km SSW of Blenheim, New Zealand</t>
  </si>
  <si>
    <t xml:space="preserve">13/11/2016 11:32</t>
  </si>
  <si>
    <t xml:space="preserve">Blenheim, New Zealand</t>
  </si>
  <si>
    <t xml:space="preserve">M 7.8 - 53 km NNE of Amberley, New Zealand</t>
  </si>
  <si>
    <t xml:space="preserve">13/11/2016 11:02</t>
  </si>
  <si>
    <t xml:space="preserve">M 6.6 - 5 km ESE of Preci, Italy</t>
  </si>
  <si>
    <t xml:space="preserve">30/10/2016 06:40</t>
  </si>
  <si>
    <t xml:space="preserve">Preci, Italy</t>
  </si>
  <si>
    <t xml:space="preserve">Italy</t>
  </si>
  <si>
    <t xml:space="preserve">M 6.6 - 161 km NNE of Pamanukan, Indonesia</t>
  </si>
  <si>
    <t xml:space="preserve">19/10/2016 00:26</t>
  </si>
  <si>
    <t xml:space="preserve">Pamanukan, Indonesia</t>
  </si>
  <si>
    <t xml:space="preserve">M 6.8 - 76 km WNW of Kandrian, Papua New Guinea</t>
  </si>
  <si>
    <t xml:space="preserve">17/10/2016 06:14</t>
  </si>
  <si>
    <t xml:space="preserve">Kandrian, Papua New Guinea</t>
  </si>
  <si>
    <t xml:space="preserve">M 6.9 - Fiji region</t>
  </si>
  <si>
    <t xml:space="preserve">24/09/2016 21:28</t>
  </si>
  <si>
    <t xml:space="preserve">Fiji region</t>
  </si>
  <si>
    <t xml:space="preserve">M 7.0 - 175 km NE of Gisborne, New Zealand</t>
  </si>
  <si>
    <t xml:space="preserve">01/09/2016 16:37</t>
  </si>
  <si>
    <t xml:space="preserve">M 6.8 - 90 km NE of Rabaul, Papua New Guinea</t>
  </si>
  <si>
    <t xml:space="preserve">31/08/2016 03:11</t>
  </si>
  <si>
    <t xml:space="preserve">Rabaul, Papua New Guinea</t>
  </si>
  <si>
    <t xml:space="preserve">M 6.8 - 26 km W of Chauk, Myanmar</t>
  </si>
  <si>
    <t xml:space="preserve">24/08/2016 10:34</t>
  </si>
  <si>
    <t xml:space="preserve">Chauk, Myanmar</t>
  </si>
  <si>
    <t xml:space="preserve">Myanmar</t>
  </si>
  <si>
    <t xml:space="preserve">M 7.2 - southeast of the Loyalty Islands</t>
  </si>
  <si>
    <t xml:space="preserve">12/08/2016 01:26</t>
  </si>
  <si>
    <t xml:space="preserve">M 7.7 - Pagan region, Northern Mariana Islands</t>
  </si>
  <si>
    <t xml:space="preserve">29/07/2016 21:18</t>
  </si>
  <si>
    <t xml:space="preserve">Pagan region, Northern Mariana Islands</t>
  </si>
  <si>
    <t xml:space="preserve">M 6.6 - 80 km W of Sungai Penuh, Indonesia</t>
  </si>
  <si>
    <t xml:space="preserve">01/06/2016 22:56</t>
  </si>
  <si>
    <t xml:space="preserve">Sungai Penuh, Indonesia</t>
  </si>
  <si>
    <t xml:space="preserve">M 7.2 - South Sandwich Islands region</t>
  </si>
  <si>
    <t xml:space="preserve">28/05/2016 09:46</t>
  </si>
  <si>
    <t xml:space="preserve">28/05/2016 05:38</t>
  </si>
  <si>
    <t xml:space="preserve">M 6.9 - 24 km NW of Rosa Zarate, Ecuador</t>
  </si>
  <si>
    <t xml:space="preserve">18/05/2016 16:46</t>
  </si>
  <si>
    <t xml:space="preserve">Rosa Zarate, Ecuador</t>
  </si>
  <si>
    <t xml:space="preserve">M 6.7 - 32 km SE of Muisne, Ecuador</t>
  </si>
  <si>
    <t xml:space="preserve">18/05/2016 07:57</t>
  </si>
  <si>
    <t xml:space="preserve">Muisne, Ecuador</t>
  </si>
  <si>
    <t xml:space="preserve">M 7.0 - 3 km NW of Norsup, Vanuatu</t>
  </si>
  <si>
    <t xml:space="preserve">28/04/2016 19:33</t>
  </si>
  <si>
    <t xml:space="preserve">Norsup, Vanuatu</t>
  </si>
  <si>
    <t xml:space="preserve">M 7.8 - 27 km SSE of Muisne, Ecuador</t>
  </si>
  <si>
    <t xml:space="preserve">16/04/2016 23:58</t>
  </si>
  <si>
    <t xml:space="preserve">M 7.0 - 6 km ESE of Kumamoto, Japan</t>
  </si>
  <si>
    <t xml:space="preserve">15/04/2016 16:25</t>
  </si>
  <si>
    <t xml:space="preserve">Kumamoto, Japan</t>
  </si>
  <si>
    <t xml:space="preserve">M 6.9 - 76 km SE of Mawlaik, Myanmar</t>
  </si>
  <si>
    <t xml:space="preserve">13/04/2016 13:55</t>
  </si>
  <si>
    <t xml:space="preserve">Mawlaik, Myanmar</t>
  </si>
  <si>
    <t xml:space="preserve">M 6.6 - 42 km WSW of Ashk?sham, Afghanistan</t>
  </si>
  <si>
    <t xml:space="preserve">10/04/2016 10:28</t>
  </si>
  <si>
    <t xml:space="preserve">Ashk?sham, Afghanistan</t>
  </si>
  <si>
    <t xml:space="preserve">M 6.7 - 104 km W of Sola, Vanuatu</t>
  </si>
  <si>
    <t xml:space="preserve">07/04/2016 03:32</t>
  </si>
  <si>
    <t xml:space="preserve">M 6.7 - 102 km WSW of Sola, Vanuatu</t>
  </si>
  <si>
    <t xml:space="preserve">06/04/2016 06:58</t>
  </si>
  <si>
    <t xml:space="preserve">M 6.9 - 82 km NNW of Port-Olry, Vanuatu</t>
  </si>
  <si>
    <t xml:space="preserve">03/04/2016 08:23</t>
  </si>
  <si>
    <t xml:space="preserve">M 7.8 - southwest of Sumatra, Indonesia</t>
  </si>
  <si>
    <t xml:space="preserve">02/03/2016 12:49</t>
  </si>
  <si>
    <t xml:space="preserve">Sumatra, Indonesia</t>
  </si>
  <si>
    <t xml:space="preserve">M 7.2 - 80 km S of Mil’kovo, Russia</t>
  </si>
  <si>
    <t xml:space="preserve">30/01/2016 03:25</t>
  </si>
  <si>
    <t xml:space="preserve">Mil’kovo, Russia</t>
  </si>
  <si>
    <t xml:space="preserve">M 7.1 - 47 km ESE of Pedro Bay, Alaska</t>
  </si>
  <si>
    <t xml:space="preserve">24/01/2016 10:30</t>
  </si>
  <si>
    <t xml:space="preserve">Pedro Bay, Alaska</t>
  </si>
  <si>
    <t xml:space="preserve">M 6.6 - 203 km SW of La Cruz de Loreto, Mexico</t>
  </si>
  <si>
    <t xml:space="preserve">21/01/2016 18:06</t>
  </si>
  <si>
    <t xml:space="preserve">La Cruz de Loreto, Mexico</t>
  </si>
  <si>
    <t xml:space="preserve">M 6.7 - 52 km SE of Shizunai-furukawach?, Japan</t>
  </si>
  <si>
    <t xml:space="preserve">14/01/2016 03:25</t>
  </si>
  <si>
    <t xml:space="preserve">Shizunai-furukawach?, Japan</t>
  </si>
  <si>
    <t xml:space="preserve">M 6.5 - 227 km SE of Sarangani, Philippines</t>
  </si>
  <si>
    <t xml:space="preserve">11/01/2016 16:38</t>
  </si>
  <si>
    <t xml:space="preserve">Sarangani, Philippines</t>
  </si>
  <si>
    <t xml:space="preserve">M 6.7 - 29 km W of Imph?l, India</t>
  </si>
  <si>
    <t xml:space="preserve">03/01/2016 23:05</t>
  </si>
  <si>
    <t xml:space="preserve">Imph?l, India</t>
  </si>
  <si>
    <t xml:space="preserve">India</t>
  </si>
  <si>
    <t xml:space="preserve">M 6.6 - 4 km W of Manuel Ávila Camacho (Ponte Duro), Mexico</t>
  </si>
  <si>
    <t xml:space="preserve">17/12/2015 19:49</t>
  </si>
  <si>
    <t xml:space="preserve">Manuel Ávila Camacho (Ponte Duro), Mexico</t>
  </si>
  <si>
    <t xml:space="preserve">M 6.9 - 107 km SE of Amahai, Indonesia</t>
  </si>
  <si>
    <t xml:space="preserve">09/12/2015 10:21</t>
  </si>
  <si>
    <t xml:space="preserve">Amahai, Indonesia</t>
  </si>
  <si>
    <t xml:space="preserve">M 7.2 - 104 km W of Murghob, Tajikistan</t>
  </si>
  <si>
    <t xml:space="preserve">07/12/2015 07:50</t>
  </si>
  <si>
    <t xml:space="preserve">M 6.7 - 125 km SSW of Tarauacá, Brazil</t>
  </si>
  <si>
    <t xml:space="preserve">26/11/2015 05:45</t>
  </si>
  <si>
    <t xml:space="preserve">M 7.6 - 185 km WNW of Iñapari, Peru</t>
  </si>
  <si>
    <t xml:space="preserve">24/11/2015 22:50</t>
  </si>
  <si>
    <t xml:space="preserve">M 7.6 - 155 km WNW of Iñapari, Peru</t>
  </si>
  <si>
    <t xml:space="preserve">24/11/2015 22:45</t>
  </si>
  <si>
    <t xml:space="preserve">M 6.8 - 153 km WSW of Buala, Solomon Islands</t>
  </si>
  <si>
    <t xml:space="preserve">18/11/2015 18:31</t>
  </si>
  <si>
    <t xml:space="preserve">Buala, Solomon Islands</t>
  </si>
  <si>
    <t xml:space="preserve">M 6.5 - 19 km SSW of Lefkáda, Greece</t>
  </si>
  <si>
    <t xml:space="preserve">17/11/2015 07:10</t>
  </si>
  <si>
    <t xml:space="preserve">Lefkáda, Greece</t>
  </si>
  <si>
    <t xml:space="preserve">M 6.7 - 140 km WSW of Makurazaki, Japan</t>
  </si>
  <si>
    <t xml:space="preserve">13/11/2015 20:51</t>
  </si>
  <si>
    <t xml:space="preserve">Makurazaki, Japan</t>
  </si>
  <si>
    <t xml:space="preserve">M 6.9 - 85 km NW of Coquimbo, Chile</t>
  </si>
  <si>
    <t xml:space="preserve">11/11/2015 02:46</t>
  </si>
  <si>
    <t xml:space="preserve">M 6.9 - 81 km NW of Coquimbo, Chile</t>
  </si>
  <si>
    <t xml:space="preserve">11/11/2015 01:54</t>
  </si>
  <si>
    <t xml:space="preserve">M 6.6 - Nicobar Islands, India region</t>
  </si>
  <si>
    <t xml:space="preserve">08/11/2015 16:47</t>
  </si>
  <si>
    <t xml:space="preserve">Nicobar Islands, India region</t>
  </si>
  <si>
    <t xml:space="preserve">M 6.8 - 39 km SW of Ovalle, Chile</t>
  </si>
  <si>
    <t xml:space="preserve">07/11/2015 07:31</t>
  </si>
  <si>
    <t xml:space="preserve">Ovalle, Chile</t>
  </si>
  <si>
    <t xml:space="preserve">M 6.5 - 47 km NW of Maubara, Timor Leste</t>
  </si>
  <si>
    <t xml:space="preserve">04/11/2015 03:44</t>
  </si>
  <si>
    <t xml:space="preserve">Maubara, Timor Leste</t>
  </si>
  <si>
    <t xml:space="preserve">M 7.5 - Hindu Kush region, Afghanistan</t>
  </si>
  <si>
    <t xml:space="preserve">26/10/2015 09:09</t>
  </si>
  <si>
    <t xml:space="preserve">Hindu Kush region, Afghanistan</t>
  </si>
  <si>
    <t xml:space="preserve">M 7.1 - 31 km NE of Port-Olry, Vanuatu</t>
  </si>
  <si>
    <t xml:space="preserve">20/10/2015 21:52</t>
  </si>
  <si>
    <t xml:space="preserve">M 6.6 - 28 km N of Sorong, Indonesia</t>
  </si>
  <si>
    <t xml:space="preserve">24/09/2015 15:53</t>
  </si>
  <si>
    <t xml:space="preserve">Sorong, Indonesia</t>
  </si>
  <si>
    <t xml:space="preserve">M 6.6 - 22 km WSW of Illapel, Chile</t>
  </si>
  <si>
    <t xml:space="preserve">21/09/2015 17:40</t>
  </si>
  <si>
    <t xml:space="preserve">Illapel, Chile</t>
  </si>
  <si>
    <t xml:space="preserve">M 6.7 - 61 km WNW of Illapel, Chile</t>
  </si>
  <si>
    <t xml:space="preserve">17/09/2015 04:10</t>
  </si>
  <si>
    <t xml:space="preserve">M 6.5 - 54 km WNW of Illapel, Chile</t>
  </si>
  <si>
    <t xml:space="preserve">17/09/2015 03:55</t>
  </si>
  <si>
    <t xml:space="preserve">M 7.0 - 25 km WNW of Illapel, Chile</t>
  </si>
  <si>
    <t xml:space="preserve">16/09/2015 23:18</t>
  </si>
  <si>
    <t xml:space="preserve">M 8.3 - 48 km W of Illapel, Chile</t>
  </si>
  <si>
    <t xml:space="preserve">16/09/2015 22:54</t>
  </si>
  <si>
    <t xml:space="preserve">M 6.7 - 95 km SW of Topolobampo, Mexico</t>
  </si>
  <si>
    <t xml:space="preserve">13/09/2015 08:14</t>
  </si>
  <si>
    <t xml:space="preserve">Topolobampo, Mexico</t>
  </si>
  <si>
    <t xml:space="preserve">M 6.5 - 177 km SE of Gizo, Solomon Islands</t>
  </si>
  <si>
    <t xml:space="preserve">12/08/2015 18:49</t>
  </si>
  <si>
    <t xml:space="preserve">Gizo, Solomon Islands</t>
  </si>
  <si>
    <t xml:space="preserve">M 6.6 - 186 km WNW of Malango, Solomon Islands</t>
  </si>
  <si>
    <t xml:space="preserve">10/08/2015 04:12</t>
  </si>
  <si>
    <t xml:space="preserve">M 7.0 - 234 km W of Abepura, Indonesia</t>
  </si>
  <si>
    <t xml:space="preserve">27/07/2015 21:41</t>
  </si>
  <si>
    <t xml:space="preserve">Abepura, Indonesia</t>
  </si>
  <si>
    <t xml:space="preserve">M 6.9 - Fox Islands, Aleutian Islands, Alaska</t>
  </si>
  <si>
    <t xml:space="preserve">27/07/2015 04:49</t>
  </si>
  <si>
    <t xml:space="preserve">Fox Islands, Aleutian Islands, Alaska</t>
  </si>
  <si>
    <t xml:space="preserve">M 7.0 - 80 km WNW of Lata, Solomon Islands</t>
  </si>
  <si>
    <t xml:space="preserve">18/07/2015 02:27</t>
  </si>
  <si>
    <t xml:space="preserve">M 6.5 - 128 km NE of Bathsheba, Barbados</t>
  </si>
  <si>
    <t xml:space="preserve">16/07/2015 15:16</t>
  </si>
  <si>
    <t xml:space="preserve">Bathsheba, Barbados</t>
  </si>
  <si>
    <t xml:space="preserve">M 6.7 - 150 km WNW of Malango, Solomon Islands</t>
  </si>
  <si>
    <t xml:space="preserve">10/07/2015 04:12</t>
  </si>
  <si>
    <t xml:space="preserve">M 6.5 - Bonin Islands, Japan region</t>
  </si>
  <si>
    <t xml:space="preserve">23/06/2015 12:18</t>
  </si>
  <si>
    <t xml:space="preserve">Bonin Islands, Japan region</t>
  </si>
  <si>
    <t xml:space="preserve">M 7.8 - Bonin Islands, Japan region</t>
  </si>
  <si>
    <t xml:space="preserve">30/05/2015 11:23</t>
  </si>
  <si>
    <t xml:space="preserve">M 6.8 - 117 km SSE of Ugashik, Alaska</t>
  </si>
  <si>
    <t xml:space="preserve">29/05/2015 07:00</t>
  </si>
  <si>
    <t xml:space="preserve">Ugashik, Alaska</t>
  </si>
  <si>
    <t xml:space="preserve">M 6.8 - 159 km ESE of Kirakira, Solomon Islands</t>
  </si>
  <si>
    <t xml:space="preserve">22/05/2015 23:59</t>
  </si>
  <si>
    <t xml:space="preserve">M 6.9 - 205 km ESE of Kirakira, Solomon Islands</t>
  </si>
  <si>
    <t xml:space="preserve">22/05/2015 21:45</t>
  </si>
  <si>
    <t xml:space="preserve">M 6.8 - 178 km W of Lata, Solomon Islands</t>
  </si>
  <si>
    <t xml:space="preserve">20/05/2015 22:48</t>
  </si>
  <si>
    <t xml:space="preserve">M 6.8 - 32 km SE of ?funato, Japan</t>
  </si>
  <si>
    <t xml:space="preserve">12/05/2015 21:12</t>
  </si>
  <si>
    <t xml:space="preserve">?funato, Japan</t>
  </si>
  <si>
    <t xml:space="preserve">M 7.3 - Nepal</t>
  </si>
  <si>
    <t xml:space="preserve">12/05/2015 07:05</t>
  </si>
  <si>
    <t xml:space="preserve">Nepal</t>
  </si>
  <si>
    <t xml:space="preserve">M 7.1 - 143 km SW of Panguna, Papua New Guinea</t>
  </si>
  <si>
    <t xml:space="preserve">07/05/2015 07:10</t>
  </si>
  <si>
    <t xml:space="preserve">M 7.5 - 131 km SSW of Kokopo, Papua New Guinea</t>
  </si>
  <si>
    <t xml:space="preserve">05/05/2015 01:44</t>
  </si>
  <si>
    <t xml:space="preserve">M 6.8 - 109 km SSW of Kokopo, Papua New Guinea</t>
  </si>
  <si>
    <t xml:space="preserve">01/05/2015 08:06</t>
  </si>
  <si>
    <t xml:space="preserve">M 6.7 - 126 km SSW of Kokopo, Papua New Guinea</t>
  </si>
  <si>
    <t xml:space="preserve">30/04/2015 10:45</t>
  </si>
  <si>
    <t xml:space="preserve">M 6.7 - 21 km SSE of Kod?ri??, Nepal</t>
  </si>
  <si>
    <t xml:space="preserve">26/04/2015 07:09</t>
  </si>
  <si>
    <t xml:space="preserve">Kod?ri??, Nepal</t>
  </si>
  <si>
    <t xml:space="preserve">M 6.6 - 71 km NNE of Bharatpur, Nepal</t>
  </si>
  <si>
    <t xml:space="preserve">25/04/2015 06:45</t>
  </si>
  <si>
    <t xml:space="preserve">Bharatpur, Nepal</t>
  </si>
  <si>
    <t xml:space="preserve">M 7.8 - 67 km NNE of Bharatpur, Nepal</t>
  </si>
  <si>
    <t xml:space="preserve">25/04/2015 06:11</t>
  </si>
  <si>
    <t xml:space="preserve">M 6.5 - 181 km SSW of Alo, Wallis and Futuna</t>
  </si>
  <si>
    <t xml:space="preserve">17/04/2015 15:52</t>
  </si>
  <si>
    <t xml:space="preserve">M 6.5 - 96 km ENE of Hihifo, Tonga</t>
  </si>
  <si>
    <t xml:space="preserve">30/03/2015 08:48</t>
  </si>
  <si>
    <t xml:space="preserve">M 7.5 - 53 km SE of Kokopo, Papua New Guinea</t>
  </si>
  <si>
    <t xml:space="preserve">29/03/2015 23:48</t>
  </si>
  <si>
    <t xml:space="preserve">M 7.0 - 150 km NNE of Maumere, Indonesia</t>
  </si>
  <si>
    <t xml:space="preserve">27/02/2015 13:45</t>
  </si>
  <si>
    <t xml:space="preserve">M 6.7 - 83 km ENE of Miyako, Japan</t>
  </si>
  <si>
    <t xml:space="preserve">16/02/2015 23:06</t>
  </si>
  <si>
    <t xml:space="preserve">Miyako, Japan</t>
  </si>
  <si>
    <t xml:space="preserve">M 6.7 - 103 km W of El Aguilar, Argentina</t>
  </si>
  <si>
    <t xml:space="preserve">11/02/2015 18:57</t>
  </si>
  <si>
    <t xml:space="preserve">El Aguilar, Argentina</t>
  </si>
  <si>
    <t xml:space="preserve">M 6.8 - 81 km NNE of Port-Vila, Vanuatu</t>
  </si>
  <si>
    <t xml:space="preserve">23/01/2015 03:47</t>
  </si>
  <si>
    <t xml:space="preserve">Port-Vila, Vanuatu</t>
  </si>
  <si>
    <t xml:space="preserve">M 6.5 - 236 km S of Punta de Burica, Panama</t>
  </si>
  <si>
    <t xml:space="preserve">07/01/2015 05:07</t>
  </si>
  <si>
    <t xml:space="preserve">Punta de Burica, Panama</t>
  </si>
  <si>
    <t xml:space="preserve">M 6.6 - 22 km ESE of Punta de Burica, Panama</t>
  </si>
  <si>
    <t xml:space="preserve">08/12/2014 08:54</t>
  </si>
  <si>
    <t xml:space="preserve">M 6.6 - 115 km W of Panguna, Papua New Guinea</t>
  </si>
  <si>
    <t xml:space="preserve">07/12/2014 01:22</t>
  </si>
  <si>
    <t xml:space="preserve">M 6.6 - 106 km WSW of Sangay, Philippines</t>
  </si>
  <si>
    <t xml:space="preserve">02/12/2014 05:11</t>
  </si>
  <si>
    <t xml:space="preserve">Sangay, Philippines</t>
  </si>
  <si>
    <t xml:space="preserve">M 6.8 - 157 km NW of Ternate, Indonesia</t>
  </si>
  <si>
    <t xml:space="preserve">26/11/2014 14:33</t>
  </si>
  <si>
    <t xml:space="preserve">Ternate, Indonesia</t>
  </si>
  <si>
    <t xml:space="preserve">M 6.5 - 123 km WNW of Tobelo, Indonesia</t>
  </si>
  <si>
    <t xml:space="preserve">21/11/2014 10:10</t>
  </si>
  <si>
    <t xml:space="preserve">M 6.7 - 183 km NE of Gisborne, New Zealand</t>
  </si>
  <si>
    <t xml:space="preserve">16/11/2014 22:33</t>
  </si>
  <si>
    <t xml:space="preserve">M 7.1 - 155 km NW of Ternate, Indonesia</t>
  </si>
  <si>
    <t xml:space="preserve">15/11/2014 02:31</t>
  </si>
  <si>
    <t xml:space="preserve">M 6.6 - 76 km NE of Finschhafen, Papua New Guinea</t>
  </si>
  <si>
    <t xml:space="preserve">07/11/2014 03:33</t>
  </si>
  <si>
    <t xml:space="preserve">Finschhafen, Papua New Guinea</t>
  </si>
  <si>
    <t xml:space="preserve">M 7.1 - Fiji region</t>
  </si>
  <si>
    <t xml:space="preserve">01/11/2014 18:57</t>
  </si>
  <si>
    <t xml:space="preserve">M 7.3 - 74 km S of Intipucá, El Salvador</t>
  </si>
  <si>
    <t xml:space="preserve">14/10/2014 03:51</t>
  </si>
  <si>
    <t xml:space="preserve">M 6.7 - 43 km NW of Piti Village, Guam</t>
  </si>
  <si>
    <t xml:space="preserve">17/09/2014 06:14</t>
  </si>
  <si>
    <t xml:space="preserve">Piti Village, Guam</t>
  </si>
  <si>
    <t xml:space="preserve">M 6.8 - 38 km NW of Aniso, Peru</t>
  </si>
  <si>
    <t xml:space="preserve">24/08/2014 23:21</t>
  </si>
  <si>
    <t xml:space="preserve">Aniso, Peru</t>
  </si>
  <si>
    <t xml:space="preserve">M 6.9 - Federated States of Micronesia region</t>
  </si>
  <si>
    <t xml:space="preserve">03/08/2014 00:22</t>
  </si>
  <si>
    <t xml:space="preserve">Micronesia region</t>
  </si>
  <si>
    <t xml:space="preserve">21/07/2014 14:54</t>
  </si>
  <si>
    <t xml:space="preserve">M 6.5 - 139 km ESE of Namie, Japan</t>
  </si>
  <si>
    <t xml:space="preserve">11/07/2014 19:22</t>
  </si>
  <si>
    <t xml:space="preserve">M 6.9 - 4 km W of Puerto Madero, Mexico</t>
  </si>
  <si>
    <t xml:space="preserve">07/07/2014 11:23</t>
  </si>
  <si>
    <t xml:space="preserve">M 6.5 - 217 km SSE of Kokopo, Papua New Guinea</t>
  </si>
  <si>
    <t xml:space="preserve">04/07/2014 15:00</t>
  </si>
  <si>
    <t xml:space="preserve">M 6.7 - 201 km SSE of Mata-Utu, Wallis and Futuna</t>
  </si>
  <si>
    <t xml:space="preserve">29/06/2014 17:15</t>
  </si>
  <si>
    <t xml:space="preserve">Mata-Utu, Wallis and Futuna</t>
  </si>
  <si>
    <t xml:space="preserve">29/06/2014 07:52</t>
  </si>
  <si>
    <t xml:space="preserve">M 7.9 - Rat Islands, Aleutian Islands, Alaska</t>
  </si>
  <si>
    <t xml:space="preserve">23/06/2014 20:53</t>
  </si>
  <si>
    <t xml:space="preserve">Rat Islands, Aleutian Islands, Alaska</t>
  </si>
  <si>
    <t xml:space="preserve">M 6.7 - Kermadec Islands, New Zealand</t>
  </si>
  <si>
    <t xml:space="preserve">23/06/2014 20:06</t>
  </si>
  <si>
    <t xml:space="preserve">23/06/2014 19:21</t>
  </si>
  <si>
    <t xml:space="preserve">23/06/2014 19:19</t>
  </si>
  <si>
    <t xml:space="preserve">M 6.9 - 21 km SSW of Kamariótissa, Greece</t>
  </si>
  <si>
    <t xml:space="preserve">24/05/2014 09:25</t>
  </si>
  <si>
    <t xml:space="preserve">Kamariótissa, Greece</t>
  </si>
  <si>
    <t xml:space="preserve">M 6.5 - 110 km SE of Punta de Burica, Panama</t>
  </si>
  <si>
    <t xml:space="preserve">13/05/2014 06:35</t>
  </si>
  <si>
    <t xml:space="preserve">M 6.6 - 239 km SSE of Isangel, Vanuatu</t>
  </si>
  <si>
    <t xml:space="preserve">01/05/2014 06:36</t>
  </si>
  <si>
    <t xml:space="preserve">M 6.5 - 107 km WSW of Vernon, Canada</t>
  </si>
  <si>
    <t xml:space="preserve">24/04/2014 03:10</t>
  </si>
  <si>
    <t xml:space="preserve">Vernon, Canada</t>
  </si>
  <si>
    <t xml:space="preserve">M 7.5 - 70 km SW of Panguna, Papua New Guinea</t>
  </si>
  <si>
    <t xml:space="preserve">19/04/2014 13:28</t>
  </si>
  <si>
    <t xml:space="preserve">M 6.6 - 57 km SW of Panguna, Papua New Guinea</t>
  </si>
  <si>
    <t xml:space="preserve">19/04/2014 01:04</t>
  </si>
  <si>
    <t xml:space="preserve">M 7.2 - 9 km ENE of Coyuquilla Norte, Mexico</t>
  </si>
  <si>
    <t xml:space="preserve">18/04/2014 14:27</t>
  </si>
  <si>
    <t xml:space="preserve">Coyuquilla Norte, Mexico</t>
  </si>
  <si>
    <t xml:space="preserve">M 6.6 - 75 km S of Kirakira, Solomon Islands</t>
  </si>
  <si>
    <t xml:space="preserve">13/04/2014 13:24</t>
  </si>
  <si>
    <t xml:space="preserve">M 7.4 - 112 km S of Kirakira, Solomon Islands</t>
  </si>
  <si>
    <t xml:space="preserve">13/04/2014 12:36</t>
  </si>
  <si>
    <t xml:space="preserve">M 7.6 - 93 km SSE of Kirakira, Solomon Islands</t>
  </si>
  <si>
    <t xml:space="preserve">12/04/2014 20:14</t>
  </si>
  <si>
    <t xml:space="preserve">M 6.6 - 15 km N of Belén, Nicaragua</t>
  </si>
  <si>
    <t xml:space="preserve">11/04/2014 20:29</t>
  </si>
  <si>
    <t xml:space="preserve">Belén, Nicaragua</t>
  </si>
  <si>
    <t xml:space="preserve">Nicaragua</t>
  </si>
  <si>
    <t xml:space="preserve">M 6.5 - 78 km SW of Panguna, Papua New Guinea</t>
  </si>
  <si>
    <t xml:space="preserve">11/04/2014 08:16</t>
  </si>
  <si>
    <t xml:space="preserve">M 7.1 - 56 km WSW of Panguna, Papua New Guinea</t>
  </si>
  <si>
    <t xml:space="preserve">11/04/2014 07:07</t>
  </si>
  <si>
    <t xml:space="preserve">M 7.7 - 53 km SW of Iquique, Chile</t>
  </si>
  <si>
    <t xml:space="preserve">03/04/2014 02:43</t>
  </si>
  <si>
    <t xml:space="preserve">Iquique, Chile</t>
  </si>
  <si>
    <t xml:space="preserve">M 6.5 - 45 km WSW of Iquique, Chile</t>
  </si>
  <si>
    <t xml:space="preserve">03/04/2014 01:58</t>
  </si>
  <si>
    <t xml:space="preserve">M 6.9 - 90 km WNW of Iquique, Chile</t>
  </si>
  <si>
    <t xml:space="preserve">01/04/2014 23:57</t>
  </si>
  <si>
    <t xml:space="preserve">M 8.2 - 93 km NW of Iquique, Chile</t>
  </si>
  <si>
    <t xml:space="preserve">01/04/2014 23:46</t>
  </si>
  <si>
    <t xml:space="preserve">M 6.7 - 63 km WNW of Iquique, Chile</t>
  </si>
  <si>
    <t xml:space="preserve">16/03/2014 21:16</t>
  </si>
  <si>
    <t xml:space="preserve">M 6.8 - 77 km WNW of Indianola, California</t>
  </si>
  <si>
    <t xml:space="preserve">10/03/2014 05:18</t>
  </si>
  <si>
    <t xml:space="preserve">nc</t>
  </si>
  <si>
    <t xml:space="preserve">Indianola, California</t>
  </si>
  <si>
    <t xml:space="preserve">M 6.5 - 109 km NW of Nago, Japan</t>
  </si>
  <si>
    <t xml:space="preserve">02/03/2014 20:11</t>
  </si>
  <si>
    <t xml:space="preserve">Nago, Japan</t>
  </si>
  <si>
    <t xml:space="preserve">M 6.5 - 171 km NNE of Greenland, Barbados</t>
  </si>
  <si>
    <t xml:space="preserve">18/02/2014 09:27</t>
  </si>
  <si>
    <t xml:space="preserve">Greenland, Barbados</t>
  </si>
  <si>
    <t xml:space="preserve">M 6.9 - 272 km ESE of Hotan, China</t>
  </si>
  <si>
    <t xml:space="preserve">12/02/2014 09:19</t>
  </si>
  <si>
    <t xml:space="preserve">Hotan, China</t>
  </si>
  <si>
    <t xml:space="preserve">M 6.5 - 32 km E of Port-Olry, Vanuatu</t>
  </si>
  <si>
    <t xml:space="preserve">07/02/2014 08:40</t>
  </si>
  <si>
    <t xml:space="preserve">M 6.5 - south of the Kermadec Islands</t>
  </si>
  <si>
    <t xml:space="preserve">02/02/2014 09:26</t>
  </si>
  <si>
    <t xml:space="preserve">M 6.5 - 32 km W of Sola, Vanuatu</t>
  </si>
  <si>
    <t xml:space="preserve">01/01/2014 16:03</t>
  </si>
  <si>
    <t xml:space="preserve">M 6.5 - Fiji region</t>
  </si>
  <si>
    <t xml:space="preserve">23/11/2013 07:48</t>
  </si>
  <si>
    <t xml:space="preserve">M 7.7 - Scotia Sea</t>
  </si>
  <si>
    <t xml:space="preserve">17/11/2013 09:04</t>
  </si>
  <si>
    <t xml:space="preserve">Scotia Sea</t>
  </si>
  <si>
    <t xml:space="preserve">M 6.9 - Scotia Sea</t>
  </si>
  <si>
    <t xml:space="preserve">16/11/2013 03:34</t>
  </si>
  <si>
    <t xml:space="preserve">M 6.6 - 41 km SSW of Coquimbo, Chile</t>
  </si>
  <si>
    <t xml:space="preserve">31/10/2013 23:03</t>
  </si>
  <si>
    <t xml:space="preserve">M 7.1 - off the east coast of Honshu, Japan</t>
  </si>
  <si>
    <t xml:space="preserve">25/10/2013 17:10</t>
  </si>
  <si>
    <t xml:space="preserve">off the east coast of Honshu, Japan</t>
  </si>
  <si>
    <t xml:space="preserve">M 6.6 - 98 km SW of Etchoropo, Mexico</t>
  </si>
  <si>
    <t xml:space="preserve">19/10/2013 17:54</t>
  </si>
  <si>
    <t xml:space="preserve">Etchoropo, Mexico</t>
  </si>
  <si>
    <t xml:space="preserve">M 6.8 - 62 km WSW of Panguna, Papua New Guinea</t>
  </si>
  <si>
    <t xml:space="preserve">16/10/2013 10:30</t>
  </si>
  <si>
    <t xml:space="preserve">M 7.1 - 4 km SE of Sagbayan, Philippines</t>
  </si>
  <si>
    <t xml:space="preserve">15/10/2013 00:12</t>
  </si>
  <si>
    <t xml:space="preserve">Sagbayan, Philippines</t>
  </si>
  <si>
    <t xml:space="preserve">M 6.6 - 36 km W of Kíssamos, Greece</t>
  </si>
  <si>
    <t xml:space="preserve">12/10/2013 13:11</t>
  </si>
  <si>
    <t xml:space="preserve">Kíssamos, Greece</t>
  </si>
  <si>
    <t xml:space="preserve">M 6.7 - Sea of Okhotsk</t>
  </si>
  <si>
    <t xml:space="preserve">01/10/2013 03:38</t>
  </si>
  <si>
    <t xml:space="preserve">Okhotsk</t>
  </si>
  <si>
    <t xml:space="preserve">30/09/2013 05:55</t>
  </si>
  <si>
    <t xml:space="preserve">M 6.8 - 129 km WSW of Khuzdar, Pakistan</t>
  </si>
  <si>
    <t xml:space="preserve">28/09/2013 07:34</t>
  </si>
  <si>
    <t xml:space="preserve">Khuzdar, Pakistan</t>
  </si>
  <si>
    <t xml:space="preserve">Pakistan</t>
  </si>
  <si>
    <t xml:space="preserve">M 7.1 - 16 km WSW of Atiquipa, Peru</t>
  </si>
  <si>
    <t xml:space="preserve">25/09/2013 16:42</t>
  </si>
  <si>
    <t xml:space="preserve">M 7.7 - 113 km NW of Bela, Pakistan</t>
  </si>
  <si>
    <t xml:space="preserve">24/09/2013 11:29</t>
  </si>
  <si>
    <t xml:space="preserve">Bela, Pakistan</t>
  </si>
  <si>
    <t xml:space="preserve">M 6.5 - 81 km SSW of Atka, Alaska</t>
  </si>
  <si>
    <t xml:space="preserve">04/09/2013 02:32</t>
  </si>
  <si>
    <t xml:space="preserve">Atka, Alaska</t>
  </si>
  <si>
    <t xml:space="preserve">M 6.5 - Izu Islands, Japan region</t>
  </si>
  <si>
    <t xml:space="preserve">04/09/2013 00:18</t>
  </si>
  <si>
    <t xml:space="preserve">Izu Islands, Japan region</t>
  </si>
  <si>
    <t xml:space="preserve">M 6.5 - 180 km NE of Lospalos, Timor Leste</t>
  </si>
  <si>
    <t xml:space="preserve">01/09/2013 11:52</t>
  </si>
  <si>
    <t xml:space="preserve">M 7.0 - 101 km SW of Atka, Alaska</t>
  </si>
  <si>
    <t xml:space="preserve">30/08/2013 16:25</t>
  </si>
  <si>
    <t xml:space="preserve">M 6.5 - 29 km SE of Blenheim, New Zealand</t>
  </si>
  <si>
    <t xml:space="preserve">16/08/2013 02:31</t>
  </si>
  <si>
    <t xml:space="preserve">M 6.7 - 101 km WSW of Bahía Solano, Colombia</t>
  </si>
  <si>
    <t xml:space="preserve">13/08/2013 15:43</t>
  </si>
  <si>
    <t xml:space="preserve">Bahía Solano, Colombia</t>
  </si>
  <si>
    <t xml:space="preserve">M 6.5 - 38 km ESE of Blenheim, New Zealand</t>
  </si>
  <si>
    <t xml:space="preserve">21/07/2013 05:09</t>
  </si>
  <si>
    <t xml:space="preserve">M 7.3 - South Sandwich Islands region</t>
  </si>
  <si>
    <t xml:space="preserve">15/07/2013 14:03</t>
  </si>
  <si>
    <t xml:space="preserve">M 6.6 - 26 km NE of Kandrian, Papua New Guinea</t>
  </si>
  <si>
    <t xml:space="preserve">07/07/2013 20:30</t>
  </si>
  <si>
    <t xml:space="preserve">M 7.3 - 190 km ENE of Kokopo, Papua New Guinea</t>
  </si>
  <si>
    <t xml:space="preserve">07/07/2013 18:35</t>
  </si>
  <si>
    <t xml:space="preserve">M 6.6 - northern Mid-Atlantic Ridge</t>
  </si>
  <si>
    <t xml:space="preserve">24/06/2013 22:04</t>
  </si>
  <si>
    <t xml:space="preserve">northern Mid-Atlantic Ridge</t>
  </si>
  <si>
    <t xml:space="preserve">M 6.5 - 44 km W of Masachapa, Nicaragua</t>
  </si>
  <si>
    <t xml:space="preserve">15/06/2013 17:34</t>
  </si>
  <si>
    <t xml:space="preserve">M 6.7 - south of Java, Indonesia</t>
  </si>
  <si>
    <t xml:space="preserve">13/06/2013 16:47</t>
  </si>
  <si>
    <t xml:space="preserve">Java, Indonesia</t>
  </si>
  <si>
    <t xml:space="preserve">24/05/2013 14:56</t>
  </si>
  <si>
    <t xml:space="preserve">M 8.3 - Sea of Okhotsk</t>
  </si>
  <si>
    <t xml:space="preserve">24/05/2013 05:44</t>
  </si>
  <si>
    <t xml:space="preserve">M 7.4 - 292 km SW of Vaini, Tonga</t>
  </si>
  <si>
    <t xml:space="preserve">23/05/2013 17:19</t>
  </si>
  <si>
    <t xml:space="preserve">Vaini, Tonga</t>
  </si>
  <si>
    <t xml:space="preserve">M 6.8 - Pagan region, Northern Mariana Islands</t>
  </si>
  <si>
    <t xml:space="preserve">14/05/2013 00:32</t>
  </si>
  <si>
    <t xml:space="preserve">M 6.5 - 33 km N of Rabaul, Papua New Guinea</t>
  </si>
  <si>
    <t xml:space="preserve">23/04/2013 23:14</t>
  </si>
  <si>
    <t xml:space="preserve">M 6.6 - 56 km WSW of Linqiong, China</t>
  </si>
  <si>
    <t xml:space="preserve">20/04/2013 00:02</t>
  </si>
  <si>
    <t xml:space="preserve">Linqiong, China</t>
  </si>
  <si>
    <t xml:space="preserve">M 7.2 - 252 km ENE of Kuril’sk, Russia</t>
  </si>
  <si>
    <t xml:space="preserve">19/04/2013 03:05</t>
  </si>
  <si>
    <t xml:space="preserve">M 6.6 - 23 km ESE of Aitape, Papua New Guinea</t>
  </si>
  <si>
    <t xml:space="preserve">16/04/2013 22:55</t>
  </si>
  <si>
    <t xml:space="preserve">Aitape, Papua New Guinea</t>
  </si>
  <si>
    <t xml:space="preserve">M 7.7 - 79 km ESE of Kh?sh, Iran</t>
  </si>
  <si>
    <t xml:space="preserve">16/04/2013 10:44</t>
  </si>
  <si>
    <t xml:space="preserve">Kh?sh, Iran</t>
  </si>
  <si>
    <t xml:space="preserve">M 6.6 - 98 km W of Panguna, Papua New Guinea</t>
  </si>
  <si>
    <t xml:space="preserve">14/04/2013 01:32</t>
  </si>
  <si>
    <t xml:space="preserve">M 7.0 - 260 km WSW of Abepura, Indonesia</t>
  </si>
  <si>
    <t xml:space="preserve">06/04/2013 04:42</t>
  </si>
  <si>
    <t xml:space="preserve">M 6.5 - 36 km E of Finschhafen, Papua New Guinea</t>
  </si>
  <si>
    <t xml:space="preserve">10/03/2013 22:51</t>
  </si>
  <si>
    <t xml:space="preserve">M 6.5 - 87 km SE of Ozernovskiy, Russia</t>
  </si>
  <si>
    <t xml:space="preserve">01/03/2013 13:20</t>
  </si>
  <si>
    <t xml:space="preserve">M 6.9 - 81 km SE of Ozernovskiy, Russia</t>
  </si>
  <si>
    <t xml:space="preserve">28/02/2013 14:05</t>
  </si>
  <si>
    <t xml:space="preserve">M 6.6 - 183 km SW of Belaya Gora, Russia</t>
  </si>
  <si>
    <t xml:space="preserve">14/02/2013 13:13</t>
  </si>
  <si>
    <t xml:space="preserve">Belaya Gora, Russia</t>
  </si>
  <si>
    <t xml:space="preserve">M 6.6 - 30 km SSW of Lata, Solomon Islands</t>
  </si>
  <si>
    <t xml:space="preserve">09/02/2013 21:02</t>
  </si>
  <si>
    <t xml:space="preserve">M 6.9 - 2 km NNE of Yacuanquer, Colombia</t>
  </si>
  <si>
    <t xml:space="preserve">09/02/2013 14:16</t>
  </si>
  <si>
    <t xml:space="preserve">Yacuanquer, Colombia</t>
  </si>
  <si>
    <t xml:space="preserve">M 7.1 - 32 km SE of Lata, Solomon Islands</t>
  </si>
  <si>
    <t xml:space="preserve">08/02/2013 15:26</t>
  </si>
  <si>
    <t xml:space="preserve">M 6.8 - 22 km ESE of Lata, Solomon Islands</t>
  </si>
  <si>
    <t xml:space="preserve">08/02/2013 11:12</t>
  </si>
  <si>
    <t xml:space="preserve">M 6.7 - 33 km SSW of Lata, Solomon Islands</t>
  </si>
  <si>
    <t xml:space="preserve">07/02/2013 18:59</t>
  </si>
  <si>
    <t xml:space="preserve">M 7.0 - 33 km NW of Lata, Solomon Islands</t>
  </si>
  <si>
    <t xml:space="preserve">06/02/2013 01:54</t>
  </si>
  <si>
    <t xml:space="preserve">M 7.1 - 112 km WSW of Lata, Solomon Islands</t>
  </si>
  <si>
    <t xml:space="preserve">06/02/2013 01:23</t>
  </si>
  <si>
    <t xml:space="preserve">M 8.0 - 75 km W of Lata, Solomon Islands</t>
  </si>
  <si>
    <t xml:space="preserve">06/02/2013 01:12</t>
  </si>
  <si>
    <t xml:space="preserve">M 6.9 - 18 km SSW of Obihiro, Japan</t>
  </si>
  <si>
    <t xml:space="preserve">02/02/2013 14:17</t>
  </si>
  <si>
    <t xml:space="preserve">Obihiro, Japan</t>
  </si>
  <si>
    <t xml:space="preserve">M 6.8 - 54 km N of Vallenar, Chile</t>
  </si>
  <si>
    <t xml:space="preserve">30/01/2013 20:15</t>
  </si>
  <si>
    <t xml:space="preserve">M 7.5 - 110 km SW of Edna Bay, Alaska</t>
  </si>
  <si>
    <t xml:space="preserve">05/01/2013 08:58</t>
  </si>
  <si>
    <t xml:space="preserve">Edna Bay, Alaska</t>
  </si>
  <si>
    <t xml:space="preserve">M 6.7 - 59 km SSW of Sola, Vanuatu</t>
  </si>
  <si>
    <t xml:space="preserve">21/12/2012 22:28</t>
  </si>
  <si>
    <t xml:space="preserve">M 7.1 - Banda Sea</t>
  </si>
  <si>
    <t xml:space="preserve">10/12/2012 16:53</t>
  </si>
  <si>
    <t xml:space="preserve">M 7.3 - 234 km SE of ?funato, Japan</t>
  </si>
  <si>
    <t xml:space="preserve">07/12/2012 08:18</t>
  </si>
  <si>
    <t xml:space="preserve">M 6.5 - 32 km SW of Champerico, Guatemala</t>
  </si>
  <si>
    <t xml:space="preserve">11/11/2012 22:14</t>
  </si>
  <si>
    <t xml:space="preserve">Champerico, Guatemala</t>
  </si>
  <si>
    <t xml:space="preserve">M 6.8 - 51 km NNE of Shwebo, Myanmar</t>
  </si>
  <si>
    <t xml:space="preserve">11/11/2012 01:12</t>
  </si>
  <si>
    <t xml:space="preserve">Shwebo, Myanmar</t>
  </si>
  <si>
    <t xml:space="preserve">M 7.4 - 33 km S of Champerico, Guatemala</t>
  </si>
  <si>
    <t xml:space="preserve">07/11/2012 16:35</t>
  </si>
  <si>
    <t xml:space="preserve">M 7.8 - 206 km SW of Prince Rupert, Canada</t>
  </si>
  <si>
    <t xml:space="preserve">28/10/2012 03:04</t>
  </si>
  <si>
    <t xml:space="preserve">Prince Rupert, Canada</t>
  </si>
  <si>
    <t xml:space="preserve">Canada</t>
  </si>
  <si>
    <t xml:space="preserve">M 6.5 - Costa Rica</t>
  </si>
  <si>
    <t xml:space="preserve">24/10/2012 00:45</t>
  </si>
  <si>
    <t xml:space="preserve">M 6.6 - 163 km ENE of Tual, Indonesia</t>
  </si>
  <si>
    <t xml:space="preserve">12/10/2012 00:31</t>
  </si>
  <si>
    <t xml:space="preserve">Tual, Indonesia</t>
  </si>
  <si>
    <t xml:space="preserve">M 7.3 - 11 km WNW of San Agustín, Colombia</t>
  </si>
  <si>
    <t xml:space="preserve">30/09/2012 16:31</t>
  </si>
  <si>
    <t xml:space="preserve">San Agustín, Colombia</t>
  </si>
  <si>
    <t xml:space="preserve">M 7.6 - 11 km ENE of Hojancha, Costa Rica</t>
  </si>
  <si>
    <t xml:space="preserve">05/09/2012 14:42</t>
  </si>
  <si>
    <t xml:space="preserve">Hojancha, Costa Rica</t>
  </si>
  <si>
    <t xml:space="preserve">M 7.6 - 89 km E of Sulangan, Philippines</t>
  </si>
  <si>
    <t xml:space="preserve">31/08/2012 12:47</t>
  </si>
  <si>
    <t xml:space="preserve">Sulangan, Philippines</t>
  </si>
  <si>
    <t xml:space="preserve">M 7.3 - 126 km S of Puerto El Triunfo, El Salvador</t>
  </si>
  <si>
    <t xml:space="preserve">27/08/2012 04:37</t>
  </si>
  <si>
    <t xml:space="preserve">M 6.6 - 140 km WNW of Tobelo, Indonesia</t>
  </si>
  <si>
    <t xml:space="preserve">26/08/2012 15:05</t>
  </si>
  <si>
    <t xml:space="preserve">M 7.7 - 156 km ENE of Poronaysk, Russia</t>
  </si>
  <si>
    <t xml:space="preserve">14/08/2012 02:59</t>
  </si>
  <si>
    <t xml:space="preserve">Poronaysk, Russia</t>
  </si>
  <si>
    <t xml:space="preserve">M 6.5 - 105 km ESE of Kokopo, Papua New Guinea</t>
  </si>
  <si>
    <t xml:space="preserve">28/07/2012 20:03</t>
  </si>
  <si>
    <t xml:space="preserve">M 6.6 - 76 km W of Neiafu, Tonga</t>
  </si>
  <si>
    <t xml:space="preserve">28/04/2012 10:08</t>
  </si>
  <si>
    <t xml:space="preserve">M 6.7 - 86 km SSE of Manokwari, Indonesia</t>
  </si>
  <si>
    <t xml:space="preserve">21/04/2012 01:16</t>
  </si>
  <si>
    <t xml:space="preserve">Manokwari, Indonesia</t>
  </si>
  <si>
    <t xml:space="preserve">M 6.8 - 140 km N of Lae, Papua New Guinea</t>
  </si>
  <si>
    <t xml:space="preserve">17/04/2012 07:13</t>
  </si>
  <si>
    <t xml:space="preserve">Lae, Papua New Guinea</t>
  </si>
  <si>
    <t xml:space="preserve">M 6.7 - 22 km NW of Hacienda La Calera, Chile</t>
  </si>
  <si>
    <t xml:space="preserve">17/04/2012 03:50</t>
  </si>
  <si>
    <t xml:space="preserve">Hacienda La Calera, Chile</t>
  </si>
  <si>
    <t xml:space="preserve">M 7.0 - 69 km ENE of San Luis, Mexico</t>
  </si>
  <si>
    <t xml:space="preserve">12/04/2012 07:15</t>
  </si>
  <si>
    <t xml:space="preserve">San Luis, Mexico</t>
  </si>
  <si>
    <t xml:space="preserve">M 6.5 - 41 km NW of El Habillal, Mexico</t>
  </si>
  <si>
    <t xml:space="preserve">11/04/2012 22:55</t>
  </si>
  <si>
    <t xml:space="preserve">El Habillal, Mexico</t>
  </si>
  <si>
    <t xml:space="preserve">M 8.2 - off the west coast of northern Sumatra</t>
  </si>
  <si>
    <t xml:space="preserve">11/04/2012 10:43</t>
  </si>
  <si>
    <t xml:space="preserve">off the west coast of northern Sumatra</t>
  </si>
  <si>
    <t xml:space="preserve">M 8.6 - off the west coast of northern Sumatra</t>
  </si>
  <si>
    <t xml:space="preserve">11/04/2012 08:38</t>
  </si>
  <si>
    <t xml:space="preserve">official</t>
  </si>
  <si>
    <t xml:space="preserve">M 7.1 - 23 km NE of Constitución, Chile</t>
  </si>
  <si>
    <t xml:space="preserve">25/03/2012 22:37</t>
  </si>
  <si>
    <t xml:space="preserve">M 6.6 - 11 km ENE of Kainantu, Papua New Guinea</t>
  </si>
  <si>
    <t xml:space="preserve">21/03/2012 22:15</t>
  </si>
  <si>
    <t xml:space="preserve">M 7.4 - 6 km E of Santiago Llano Grande, Mexico</t>
  </si>
  <si>
    <t xml:space="preserve">20/03/2012 18:02</t>
  </si>
  <si>
    <t xml:space="preserve">Santiago Llano Grande, Mexico</t>
  </si>
  <si>
    <t xml:space="preserve">M 6.7 - 38 km NE of Saryg-Sep, Russia</t>
  </si>
  <si>
    <t xml:space="preserve">26/02/2012 06:17</t>
  </si>
  <si>
    <t xml:space="preserve">Saryg-Sep, Russia</t>
  </si>
  <si>
    <t xml:space="preserve">M 6.7 - 2 km NNE of Jimalalud, Philippines</t>
  </si>
  <si>
    <t xml:space="preserve">06/02/2012 03:49</t>
  </si>
  <si>
    <t xml:space="preserve">Jimalalud, Philippines</t>
  </si>
  <si>
    <t xml:space="preserve">M 7.1 - 125 km W of Port-Vila, Vanuatu</t>
  </si>
  <si>
    <t xml:space="preserve">02/02/2012 13:34</t>
  </si>
  <si>
    <t xml:space="preserve">M 7.2 - off the west coast of northern Sumatra</t>
  </si>
  <si>
    <t xml:space="preserve">10/01/2012 18:36</t>
  </si>
  <si>
    <t xml:space="preserve">M 6.6 - 45 km NNE of Saryg-Sep, Russia</t>
  </si>
  <si>
    <t xml:space="preserve">27/12/2011 15:21</t>
  </si>
  <si>
    <t xml:space="preserve">M 7.1 - 25 km SSE of Wau, Papua New Guinea</t>
  </si>
  <si>
    <t xml:space="preserve">14/12/2011 05:04</t>
  </si>
  <si>
    <t xml:space="preserve">Wau, Papua New Guinea</t>
  </si>
  <si>
    <t xml:space="preserve">M 6.5 - 6 km SSW of Nuevo Balsas, Mexico</t>
  </si>
  <si>
    <t xml:space="preserve">11/12/2011 01:47</t>
  </si>
  <si>
    <t xml:space="preserve">Nuevo Balsas, Mexico</t>
  </si>
  <si>
    <t xml:space="preserve">M 6.9 - 39 km SW of Santiago, Peru</t>
  </si>
  <si>
    <t xml:space="preserve">28/10/2011 18:54</t>
  </si>
  <si>
    <t xml:space="preserve">Santiago, Peru</t>
  </si>
  <si>
    <t xml:space="preserve">M 7.1 - 27 km NNE of Van, Turkey</t>
  </si>
  <si>
    <t xml:space="preserve">23/10/2011 10:41</t>
  </si>
  <si>
    <t xml:space="preserve">Van, Turkey</t>
  </si>
  <si>
    <t xml:space="preserve">M 6.5 - 4 km ESE of Finschhafen, Papua New Guinea</t>
  </si>
  <si>
    <t xml:space="preserve">14/10/2011 03:35</t>
  </si>
  <si>
    <t xml:space="preserve">M 6.9 - 43 km NW of Mangan, India</t>
  </si>
  <si>
    <t xml:space="preserve">18/09/2011 12:40</t>
  </si>
  <si>
    <t xml:space="preserve">Mangan, India</t>
  </si>
  <si>
    <t xml:space="preserve">M 6.7 - 99 km NE of Miyako, Japan</t>
  </si>
  <si>
    <t xml:space="preserve">16/09/2011 19:26</t>
  </si>
  <si>
    <t xml:space="preserve">M 6.7 - 68 km WSW of Kabanjahe, Indonesia</t>
  </si>
  <si>
    <t xml:space="preserve">05/09/2011 17:55</t>
  </si>
  <si>
    <t xml:space="preserve">Kabanjahe, Indonesia</t>
  </si>
  <si>
    <t xml:space="preserve">M 7.0 - 133 km SSE of Isangel, Vanuatu</t>
  </si>
  <si>
    <t xml:space="preserve">03/09/2011 22:55</t>
  </si>
  <si>
    <t xml:space="preserve">M 7.0 - 64 km ESE of Contamana, Peru</t>
  </si>
  <si>
    <t xml:space="preserve">24/08/2011 17:46</t>
  </si>
  <si>
    <t xml:space="preserve">Contamana, Peru</t>
  </si>
  <si>
    <t xml:space="preserve">M 7.1 - 64 km S of Port-Vila, Vanuatu</t>
  </si>
  <si>
    <t xml:space="preserve">20/08/2011 18:19</t>
  </si>
  <si>
    <t xml:space="preserve">M 6.5 - 65 km SSW of Port-Vila, Vanuatu</t>
  </si>
  <si>
    <t xml:space="preserve">20/08/2011 17:13</t>
  </si>
  <si>
    <t xml:space="preserve">M 7.2 - 71 km SSW of Port-Vila, Vanuatu</t>
  </si>
  <si>
    <t xml:space="preserve">20/08/2011 16:55</t>
  </si>
  <si>
    <t xml:space="preserve">M 6.6 - 103 km NE of Angoram, Papua New Guinea</t>
  </si>
  <si>
    <t xml:space="preserve">31/07/2011 23:38</t>
  </si>
  <si>
    <t xml:space="preserve">M 7.6 - Kermadec Islands region</t>
  </si>
  <si>
    <t xml:space="preserve">06/07/2011 19:03</t>
  </si>
  <si>
    <t xml:space="preserve">M 6.7 - 41 km NNE of Miyako, Japan</t>
  </si>
  <si>
    <t xml:space="preserve">22/06/2011 21:50</t>
  </si>
  <si>
    <t xml:space="preserve">M 6.8 - 124 km NE of Wé, New Caledonia</t>
  </si>
  <si>
    <t xml:space="preserve">10/05/2011 08:55</t>
  </si>
  <si>
    <t xml:space="preserve">Wé, New Caledonia</t>
  </si>
  <si>
    <t xml:space="preserve">M 6.8 - 79 km W of Kirakira, Solomon Islands</t>
  </si>
  <si>
    <t xml:space="preserve">23/04/2011 04:16</t>
  </si>
  <si>
    <t xml:space="preserve">M 6.6 - 17 km SSW of Ishikawa, Japan</t>
  </si>
  <si>
    <t xml:space="preserve">11/04/2011 08:16</t>
  </si>
  <si>
    <t xml:space="preserve">Ishikawa, Japan</t>
  </si>
  <si>
    <t xml:space="preserve">M 7.1 - 29 km ESE of Ishinomaki, Japan</t>
  </si>
  <si>
    <t xml:space="preserve">07/04/2011 14:32</t>
  </si>
  <si>
    <t xml:space="preserve">M 6.6 - 7 km SW of Helio García Alfaro, Mexico</t>
  </si>
  <si>
    <t xml:space="preserve">07/04/2011 13:11</t>
  </si>
  <si>
    <t xml:space="preserve">Helio García Alfaro, Mexico</t>
  </si>
  <si>
    <t xml:space="preserve">M 6.9 - 27 km NNW of Tachilek, Myanmar</t>
  </si>
  <si>
    <t xml:space="preserve">24/03/2011 13:55</t>
  </si>
  <si>
    <t xml:space="preserve">Tachilek, Myanmar</t>
  </si>
  <si>
    <t xml:space="preserve">M 6.6 - 50 km ESE of ?tsuchi, Japan</t>
  </si>
  <si>
    <t xml:space="preserve">11/03/2011 11:36</t>
  </si>
  <si>
    <t xml:space="preserve">ms</t>
  </si>
  <si>
    <t xml:space="preserve">?tsuchi, Japan</t>
  </si>
  <si>
    <t xml:space="preserve">M 6.5 - 81 km NE of Hasaki, Japan</t>
  </si>
  <si>
    <t xml:space="preserve">11/03/2011 08:19</t>
  </si>
  <si>
    <t xml:space="preserve">mb</t>
  </si>
  <si>
    <t xml:space="preserve">Hasaki, Japan</t>
  </si>
  <si>
    <t xml:space="preserve">M 7.7 - 272 km ESE of Kamaishi, Japan</t>
  </si>
  <si>
    <t xml:space="preserve">11/03/2011 06:25</t>
  </si>
  <si>
    <t xml:space="preserve">Kamaishi, Japan</t>
  </si>
  <si>
    <t xml:space="preserve">M 7.9 - 47 km E of ?arai, Japan</t>
  </si>
  <si>
    <t xml:space="preserve">11/03/2011 06:15</t>
  </si>
  <si>
    <t xml:space="preserve">?arai, Japan</t>
  </si>
  <si>
    <t xml:space="preserve">M 9.1 - 2011 Great Tohoku Earthquake, Japan</t>
  </si>
  <si>
    <t xml:space="preserve">11/03/2011 05:46</t>
  </si>
  <si>
    <t xml:space="preserve">2011 Great Tohoku Earthquake, Japan</t>
  </si>
  <si>
    <t xml:space="preserve">M 7.3 - 120 km SE of ?funato, Japan</t>
  </si>
  <si>
    <t xml:space="preserve">09/03/2011 02:45</t>
  </si>
  <si>
    <t xml:space="preserve">M 6.7 - 38 km W of Constitución, Chile</t>
  </si>
  <si>
    <t xml:space="preserve">14/02/2011 03:40</t>
  </si>
  <si>
    <t xml:space="preserve">M 6.9 - 21 km N of Tomé, Chile</t>
  </si>
  <si>
    <t xml:space="preserve">11/02/2011 20:05</t>
  </si>
  <si>
    <t xml:space="preserve">Tomé, Chile</t>
  </si>
  <si>
    <t xml:space="preserve">M 7.2 - 46 km WSW of Dalbandin, Pakistan</t>
  </si>
  <si>
    <t xml:space="preserve">18/01/2011 20:23</t>
  </si>
  <si>
    <t xml:space="preserve">Dalbandin, Pakistan</t>
  </si>
  <si>
    <t xml:space="preserve">M 7.0 - 118 km NNE of Tadine, New Caledonia</t>
  </si>
  <si>
    <t xml:space="preserve">13/01/2011 16:16</t>
  </si>
  <si>
    <t xml:space="preserve">M 7.2 - 42 km NNW of Carahue, Chile</t>
  </si>
  <si>
    <t xml:space="preserve">02/01/2011 20:20</t>
  </si>
  <si>
    <t xml:space="preserve">Carahue, Chile</t>
  </si>
  <si>
    <t xml:space="preserve">M 7.3 - 141 km W of Isangel, Vanuatu</t>
  </si>
  <si>
    <t xml:space="preserve">25/12/2010 13:16</t>
  </si>
  <si>
    <t xml:space="preserve">M 6.7 - 111 km SE of Bam, Iran</t>
  </si>
  <si>
    <t xml:space="preserve">20/12/2010 18:41</t>
  </si>
  <si>
    <t xml:space="preserve">Bam, Iran</t>
  </si>
  <si>
    <t xml:space="preserve">M 6.6 - 52 km ENE of Kandrian, Papua New Guinea</t>
  </si>
  <si>
    <t xml:space="preserve">02/12/2010 03:12</t>
  </si>
  <si>
    <t xml:space="preserve">M 7.8 - 215 km SW of Sungai Penuh, Indonesia</t>
  </si>
  <si>
    <t xml:space="preserve">25/10/2010 14:42</t>
  </si>
  <si>
    <t xml:space="preserve">M 6.7 - 97 km SSW of El Huitusi, Mexico</t>
  </si>
  <si>
    <t xml:space="preserve">21/10/2010 17:53</t>
  </si>
  <si>
    <t xml:space="preserve">El Huitusi, Mexico</t>
  </si>
  <si>
    <t xml:space="preserve">M 7.0 - Near the south coast of Papua, Indonesia</t>
  </si>
  <si>
    <t xml:space="preserve">29/09/2010 17:11</t>
  </si>
  <si>
    <t xml:space="preserve">Papua, Indonesia</t>
  </si>
  <si>
    <t xml:space="preserve">M 7.0 - 19 km NE of Methven, New Zealand</t>
  </si>
  <si>
    <t xml:space="preserve">03/09/2010 16:35</t>
  </si>
  <si>
    <t xml:space="preserve">Methven, New Zealand</t>
  </si>
  <si>
    <t xml:space="preserve">M 7.1 - Ecuador</t>
  </si>
  <si>
    <t xml:space="preserve">12/08/2010 11:54</t>
  </si>
  <si>
    <t xml:space="preserve">M 7.3 - 33 km NW of Port-Vila, Vanuatu</t>
  </si>
  <si>
    <t xml:space="preserve">10/08/2010 05:23</t>
  </si>
  <si>
    <t xml:space="preserve">M 7.0 - 72 km ESE of Kimbe, Papua New Guinea</t>
  </si>
  <si>
    <t xml:space="preserve">04/08/2010 22:01</t>
  </si>
  <si>
    <t xml:space="preserve">M 6.5 - 118 km ESE of Madang, Papua New Guinea</t>
  </si>
  <si>
    <t xml:space="preserve">04/08/2010 07:15</t>
  </si>
  <si>
    <t xml:space="preserve">Madang, Papua New Guinea</t>
  </si>
  <si>
    <t xml:space="preserve">M 7.6 - 61 km W of Bantogon, Philippines</t>
  </si>
  <si>
    <t xml:space="preserve">23/07/2010 22:51</t>
  </si>
  <si>
    <t xml:space="preserve">Bantogon, Philippines</t>
  </si>
  <si>
    <t xml:space="preserve">M 7.3 - New Britain region, Papua New Guinea</t>
  </si>
  <si>
    <t xml:space="preserve">18/07/2010 13:34</t>
  </si>
  <si>
    <t xml:space="preserve">New Britain region, Papua New Guinea</t>
  </si>
  <si>
    <t xml:space="preserve">M 6.9 - 56 km SE of Kimbe, Papua New Guinea</t>
  </si>
  <si>
    <t xml:space="preserve">18/07/2010 13:04</t>
  </si>
  <si>
    <t xml:space="preserve">M 6.6 - 30 km SSE of Cañete, Chile</t>
  </si>
  <si>
    <t xml:space="preserve">14/07/2010 08:32</t>
  </si>
  <si>
    <t xml:space="preserve">Cañete, Chile</t>
  </si>
  <si>
    <t xml:space="preserve">M 6.7 - 55 km WSW of Kirakira, Solomon Islands</t>
  </si>
  <si>
    <t xml:space="preserve">26/06/2010 05:30</t>
  </si>
  <si>
    <t xml:space="preserve">M 6.6 - 135 km SSE of Biak, Indonesia</t>
  </si>
  <si>
    <t xml:space="preserve">16/06/2010 03:58</t>
  </si>
  <si>
    <t xml:space="preserve">Biak, Indonesia</t>
  </si>
  <si>
    <t xml:space="preserve">M 7.0 - 121 km SSE of Biak, Indonesia</t>
  </si>
  <si>
    <t xml:space="preserve">16/06/2010 03:16</t>
  </si>
  <si>
    <t xml:space="preserve">M 7.5 - Nicobar Islands, India region</t>
  </si>
  <si>
    <t xml:space="preserve">12/06/2010 19:26</t>
  </si>
  <si>
    <t xml:space="preserve">M 7.2 - 100 km WNW of Sola, Vanuatu</t>
  </si>
  <si>
    <t xml:space="preserve">27/05/2010 17:14</t>
  </si>
  <si>
    <t xml:space="preserve">M 7.2 - 45 km SSW of Meulaboh, Indonesia</t>
  </si>
  <si>
    <t xml:space="preserve">09/05/2010 05:59</t>
  </si>
  <si>
    <t xml:space="preserve">Meulaboh, Indonesia</t>
  </si>
  <si>
    <t xml:space="preserve">M 6.9 - 233 km NNW of Qamdo, China</t>
  </si>
  <si>
    <t xml:space="preserve">13/04/2010 23:49</t>
  </si>
  <si>
    <t xml:space="preserve">Qamdo, China</t>
  </si>
  <si>
    <t xml:space="preserve">M 6.9 - 99 km WSW of Kirakira, Solomon Islands</t>
  </si>
  <si>
    <t xml:space="preserve">11/04/2010 09:40</t>
  </si>
  <si>
    <t xml:space="preserve">M 7.8 - 75 km E of Sinabang, Indonesia</t>
  </si>
  <si>
    <t xml:space="preserve">06/04/2010 22:15</t>
  </si>
  <si>
    <t xml:space="preserve">M 7.2 - 12km SW of Delta, B.C., MX</t>
  </si>
  <si>
    <t xml:space="preserve">04/04/2010 22:40</t>
  </si>
  <si>
    <t xml:space="preserve">Delta, B.C., MX</t>
  </si>
  <si>
    <t xml:space="preserve">M 6.6 - 217 km N of Bamboo Flat, India</t>
  </si>
  <si>
    <t xml:space="preserve">30/03/2010 16:54</t>
  </si>
  <si>
    <t xml:space="preserve">Bamboo Flat, India</t>
  </si>
  <si>
    <t xml:space="preserve">M 6.7 - 52 km NNW of Tomé, Chile</t>
  </si>
  <si>
    <t xml:space="preserve">16/03/2010 02:21</t>
  </si>
  <si>
    <t xml:space="preserve">M 6.5 - 59 km ENE of Namie, Japan</t>
  </si>
  <si>
    <t xml:space="preserve">14/03/2010 08:08</t>
  </si>
  <si>
    <t xml:space="preserve">M 7.0 - 52 km NW of Santa Cruz, Chile</t>
  </si>
  <si>
    <t xml:space="preserve">11/03/2010 14:55</t>
  </si>
  <si>
    <t xml:space="preserve">Santa Cruz, Chile</t>
  </si>
  <si>
    <t xml:space="preserve">M 6.9 - 61 km NW of Santa Cruz, Chile</t>
  </si>
  <si>
    <t xml:space="preserve">11/03/2010 14:39</t>
  </si>
  <si>
    <t xml:space="preserve">M 6.8 - 141 km W of Bengkulu, Indonesia</t>
  </si>
  <si>
    <t xml:space="preserve">05/03/2010 16:07</t>
  </si>
  <si>
    <t xml:space="preserve">M 6.6 - 23 km WNW of Talcahuano, Chile</t>
  </si>
  <si>
    <t xml:space="preserve">05/03/2010 11:47</t>
  </si>
  <si>
    <t xml:space="preserve">Talcahuano, Chile</t>
  </si>
  <si>
    <t xml:space="preserve">M 6.5 - 48 km NW of Sola, Vanuatu</t>
  </si>
  <si>
    <t xml:space="preserve">04/03/2010 14:02</t>
  </si>
  <si>
    <t xml:space="preserve">M 7.4 - 124 km W of Lebu, Chile</t>
  </si>
  <si>
    <t xml:space="preserve">27/02/2010 08:01</t>
  </si>
  <si>
    <t xml:space="preserve">Lebu, Chile</t>
  </si>
  <si>
    <t xml:space="preserve">M 8.8 - 36 km WNW of Quirihue, Chile</t>
  </si>
  <si>
    <t xml:space="preserve">27/02/2010 06:34</t>
  </si>
  <si>
    <t xml:space="preserve">Quirihue, Chile</t>
  </si>
  <si>
    <t xml:space="preserve">M 7.0 - 70 km SE of Katsuren-haebaru, Japan</t>
  </si>
  <si>
    <t xml:space="preserve">26/02/2010 20:31</t>
  </si>
  <si>
    <t xml:space="preserve">Katsuren-haebaru, Japan</t>
  </si>
  <si>
    <t xml:space="preserve">M 7.0 - 10 km SE of Léogâne, Haiti</t>
  </si>
  <si>
    <t xml:space="preserve">12/01/2010 21:53</t>
  </si>
  <si>
    <t xml:space="preserve">Léogâne, Haiti</t>
  </si>
  <si>
    <t xml:space="preserve">M 6.5 - 37 km WNW of Ferndale, California</t>
  </si>
  <si>
    <t xml:space="preserve">10/01/2010 00:27</t>
  </si>
  <si>
    <t xml:space="preserve">M 6.8 - 127 km SE of Gizo, Solomon Islands</t>
  </si>
  <si>
    <t xml:space="preserve">05/01/2010 12:15</t>
  </si>
  <si>
    <t xml:space="preserve">M 7.1 - 94 km SE of Gizo, Solomon Islands</t>
  </si>
  <si>
    <t xml:space="preserve">03/01/2010 22:36</t>
  </si>
  <si>
    <t xml:space="preserve">M 6.6 - 98 km SE of Gizo, Solomon Islands</t>
  </si>
  <si>
    <t xml:space="preserve">03/01/2010 21:48</t>
  </si>
  <si>
    <t xml:space="preserve">M 6.5 - 92 km N of Iquique, Chile</t>
  </si>
  <si>
    <t xml:space="preserve">13/11/2009 03:05</t>
  </si>
  <si>
    <t xml:space="preserve">M 7.3 - 77 km ENE of Ba, Fiji</t>
  </si>
  <si>
    <t xml:space="preserve">09/11/2009 10:44</t>
  </si>
  <si>
    <t xml:space="preserve">Ba, Fiji</t>
  </si>
  <si>
    <t xml:space="preserve">M 6.6 - 29 km NNW of Bima, Indonesia</t>
  </si>
  <si>
    <t xml:space="preserve">08/11/2009 19:41</t>
  </si>
  <si>
    <t xml:space="preserve">Bima, Indonesia</t>
  </si>
  <si>
    <t xml:space="preserve">M 6.8 - 98 km NNE of Naze, Japan</t>
  </si>
  <si>
    <t xml:space="preserve">30/10/2009 07:03</t>
  </si>
  <si>
    <t xml:space="preserve">M 6.9 - 268 km WSW of Tual, Indonesia</t>
  </si>
  <si>
    <t xml:space="preserve">24/10/2009 14:40</t>
  </si>
  <si>
    <t xml:space="preserve">M 6.8 - 188 km WNW of Sola, Vanuatu</t>
  </si>
  <si>
    <t xml:space="preserve">08/10/2009 08:28</t>
  </si>
  <si>
    <t xml:space="preserve">M 7.4 - 143 km NW of Sola, Vanuatu</t>
  </si>
  <si>
    <t xml:space="preserve">07/10/2009 23:13</t>
  </si>
  <si>
    <t xml:space="preserve">M 7.8 - 196 km NW of Sola, Vanuatu</t>
  </si>
  <si>
    <t xml:space="preserve">07/10/2009 22:18</t>
  </si>
  <si>
    <t xml:space="preserve">M 7.7 - 148 km NW of Sola, Vanuatu</t>
  </si>
  <si>
    <t xml:space="preserve">07/10/2009 22:03</t>
  </si>
  <si>
    <t xml:space="preserve">M 6.6 - 49 km SSE of Sungai Penuh, Indonesia</t>
  </si>
  <si>
    <t xml:space="preserve">01/10/2009 01:52</t>
  </si>
  <si>
    <t xml:space="preserve">M 7.6 - 30 km WSW of Pariaman, Indonesia</t>
  </si>
  <si>
    <t xml:space="preserve">30/09/2009 10:16</t>
  </si>
  <si>
    <t xml:space="preserve">M 8.1 - 168 km SSW of Matavai, Samoa</t>
  </si>
  <si>
    <t xml:space="preserve">29/09/2009 17:48</t>
  </si>
  <si>
    <t xml:space="preserve">Matavai, Samoa</t>
  </si>
  <si>
    <t xml:space="preserve">M 7.0 - 66 km SSW of Banjar, Indonesia</t>
  </si>
  <si>
    <t xml:space="preserve">02/09/2009 07:55</t>
  </si>
  <si>
    <t xml:space="preserve">Banjar, Indonesia</t>
  </si>
  <si>
    <t xml:space="preserve">M 6.7 - 112 km WSW of Padang, Indonesia</t>
  </si>
  <si>
    <t xml:space="preserve">16/08/2009 07:38</t>
  </si>
  <si>
    <t xml:space="preserve">Padang, Indonesia</t>
  </si>
  <si>
    <t xml:space="preserve">M 6.6 - 244 km SSE of Tateyama, Japan</t>
  </si>
  <si>
    <t xml:space="preserve">12/08/2009 22:48</t>
  </si>
  <si>
    <t xml:space="preserve">Tateyama, Japan</t>
  </si>
  <si>
    <t xml:space="preserve">M 7.5 - 266 km N of Bamboo Flat, India</t>
  </si>
  <si>
    <t xml:space="preserve">10/08/2009 19:55</t>
  </si>
  <si>
    <t xml:space="preserve">M 7.1 - 161 km S of ?yama, Japan</t>
  </si>
  <si>
    <t xml:space="preserve">09/08/2009 10:55</t>
  </si>
  <si>
    <t xml:space="preserve">?yama, Japan</t>
  </si>
  <si>
    <t xml:space="preserve">M 6.9 - 96 km WNW of Bahía de Kino, Mexico</t>
  </si>
  <si>
    <t xml:space="preserve">03/08/2009 17:59</t>
  </si>
  <si>
    <t xml:space="preserve">Bahía de Kino, Mexico</t>
  </si>
  <si>
    <t xml:space="preserve">M 7.8 - 97 km WSW of Te Anau, New Zealand</t>
  </si>
  <si>
    <t xml:space="preserve">15/07/2009 09:22</t>
  </si>
  <si>
    <t xml:space="preserve">Te Anau, New Zealand</t>
  </si>
  <si>
    <t xml:space="preserve">M 6.7 - 190 km ESE of Kokopo, Papua New Guinea</t>
  </si>
  <si>
    <t xml:space="preserve">23/06/2009 14:19</t>
  </si>
  <si>
    <t xml:space="preserve">M 7.3 - 46 km NW of Guanaja, Honduras</t>
  </si>
  <si>
    <t xml:space="preserve">28/05/2009 08:24</t>
  </si>
  <si>
    <t xml:space="preserve">Guanaja, Honduras</t>
  </si>
  <si>
    <t xml:space="preserve">M 7.6 - 191 km S of ‘Ohonua, Tonga</t>
  </si>
  <si>
    <t xml:space="preserve">19/03/2009 18:17</t>
  </si>
  <si>
    <t xml:space="preserve">‘Ohonua, Tonga</t>
  </si>
  <si>
    <t xml:space="preserve">M 7.2 - 196 km SSE of Sarangani, Philippines</t>
  </si>
  <si>
    <t xml:space="preserve">11/02/2009 17:34</t>
  </si>
  <si>
    <t xml:space="preserve">M 7.4 - 86 km WNW of Manokwari, Indonesia</t>
  </si>
  <si>
    <t xml:space="preserve">03/01/2009 22:33</t>
  </si>
  <si>
    <t xml:space="preserve">M 6.6 - 50 km S of Jurm, Afghanistan</t>
  </si>
  <si>
    <t xml:space="preserve">03/01/2009 20:23</t>
  </si>
  <si>
    <t xml:space="preserve">M 7.7 - 140 km WNW of Manokwari, Indonesia</t>
  </si>
  <si>
    <t xml:space="preserve">03/01/2009 19:43</t>
  </si>
  <si>
    <t xml:space="preserve">M 7.4 - 135 km NW of Gorontalo, Indonesia</t>
  </si>
  <si>
    <t xml:space="preserve">16/11/2008 17:02</t>
  </si>
  <si>
    <t xml:space="preserve">Gorontalo, Indonesia</t>
  </si>
  <si>
    <t xml:space="preserve">M 6.7 - 19 km SW of Brisas Barra de Suchiate, Mexico</t>
  </si>
  <si>
    <t xml:space="preserve">16/10/2008 19:41</t>
  </si>
  <si>
    <t xml:space="preserve">Brisas Barra de Suchiate, Mexico</t>
  </si>
  <si>
    <t xml:space="preserve">M 6.7 - 131 km SE of Nookat, Kyrgyzstan</t>
  </si>
  <si>
    <t xml:space="preserve">05/10/2008 15:52</t>
  </si>
  <si>
    <t xml:space="preserve">Nookat, Kyrgyzstan</t>
  </si>
  <si>
    <t xml:space="preserve">Kyrgyzstan</t>
  </si>
  <si>
    <t xml:space="preserve">M 6.8 - 122 km SSE of Obihiro, Japan</t>
  </si>
  <si>
    <t xml:space="preserve">11/09/2008 00:20</t>
  </si>
  <si>
    <t xml:space="preserve">M 6.6 - 73 km WNW of Tobelo, Indonesia</t>
  </si>
  <si>
    <t xml:space="preserve">11/09/2008 00:00</t>
  </si>
  <si>
    <t xml:space="preserve">M 6.9 - 75 km WNW of Sola, Vanuatu</t>
  </si>
  <si>
    <t xml:space="preserve">08/09/2008 18:52</t>
  </si>
  <si>
    <t xml:space="preserve">M 6.7 - 221 km NE of Jumla, Nepal</t>
  </si>
  <si>
    <t xml:space="preserve">25/08/2008 13:21</t>
  </si>
  <si>
    <t xml:space="preserve">Jumla, Nepal</t>
  </si>
  <si>
    <t xml:space="preserve">M 6.8 - 29 km ENE of Morioka, Japan</t>
  </si>
  <si>
    <t xml:space="preserve">23/07/2008 15:26</t>
  </si>
  <si>
    <t xml:space="preserve">Morioka, Japan</t>
  </si>
  <si>
    <t xml:space="preserve">M 7.0 - 107 km E of Namie, Japan</t>
  </si>
  <si>
    <t xml:space="preserve">19/07/2008 02:39</t>
  </si>
  <si>
    <t xml:space="preserve">M 6.9 - 151 km E of Namie, Japan</t>
  </si>
  <si>
    <t xml:space="preserve">duputel</t>
  </si>
  <si>
    <t xml:space="preserve">M 6.6 - 124 km SW of Bamboo Flat, India</t>
  </si>
  <si>
    <t xml:space="preserve">27/06/2008 11:40</t>
  </si>
  <si>
    <t xml:space="preserve">M 6.9 - 24 km WSW of Mizusawa, Japan</t>
  </si>
  <si>
    <t xml:space="preserve">13/06/2008 23:43</t>
  </si>
  <si>
    <t xml:space="preserve">Mizusawa, Japan</t>
  </si>
  <si>
    <t xml:space="preserve">M 7.9 - 58 km W of Tianpeng, China</t>
  </si>
  <si>
    <t xml:space="preserve">12/05/2008 06:28</t>
  </si>
  <si>
    <t xml:space="preserve">Tianpeng, China</t>
  </si>
  <si>
    <t xml:space="preserve">M 6.9 - 78 km NE of Hasaki, Japan</t>
  </si>
  <si>
    <t xml:space="preserve">07/05/2008 16:45</t>
  </si>
  <si>
    <t xml:space="preserve">M 7.3 - 71 km SW of Isangel, Vanuatu</t>
  </si>
  <si>
    <t xml:space="preserve">09/04/2008 12:46</t>
  </si>
  <si>
    <t xml:space="preserve">M 7.2 - 226 km SE of Hotan, China</t>
  </si>
  <si>
    <t xml:space="preserve">20/03/2008 22:32</t>
  </si>
  <si>
    <t xml:space="preserve">M 6.9 - Philippine Islands region</t>
  </si>
  <si>
    <t xml:space="preserve">03/03/2008 14:11</t>
  </si>
  <si>
    <t xml:space="preserve">Philippine Islands region</t>
  </si>
  <si>
    <t xml:space="preserve">M 6.7 - 155 km SSW of Padang, Indonesia</t>
  </si>
  <si>
    <t xml:space="preserve">25/02/2008 21:02</t>
  </si>
  <si>
    <t xml:space="preserve">M 6.6 - 161 km SSW of Padang, Indonesia</t>
  </si>
  <si>
    <t xml:space="preserve">25/02/2008 18:06</t>
  </si>
  <si>
    <t xml:space="preserve">M 7.2 - 164 km WSW of Sungai Penuh, Indonesia</t>
  </si>
  <si>
    <t xml:space="preserve">25/02/2008 08:36</t>
  </si>
  <si>
    <t xml:space="preserve">M 6.5 - 166 km WSW of Sungai Penuh, Indonesia</t>
  </si>
  <si>
    <t xml:space="preserve">24/02/2008 14:46</t>
  </si>
  <si>
    <t xml:space="preserve">M 7.4 - 56 km NW of Sinabang, Indonesia</t>
  </si>
  <si>
    <t xml:space="preserve">20/02/2008 08:08</t>
  </si>
  <si>
    <t xml:space="preserve">M 6.5 - 50 km S of Koróni, Greece</t>
  </si>
  <si>
    <t xml:space="preserve">14/02/2008 12:08</t>
  </si>
  <si>
    <t xml:space="preserve">Koróni, Greece</t>
  </si>
  <si>
    <t xml:space="preserve">M 6.9 - 35 km S of Methóni, Greece</t>
  </si>
  <si>
    <t xml:space="preserve">14/02/2008 10:09</t>
  </si>
  <si>
    <t xml:space="preserve">Methóni, Greece</t>
  </si>
  <si>
    <t xml:space="preserve">M 6.5 - 9 km SSW of General Pascual Fentes, Mexico</t>
  </si>
  <si>
    <t xml:space="preserve">12/02/2008 12:50</t>
  </si>
  <si>
    <t xml:space="preserve">General Pascual Fentes, Mexico</t>
  </si>
  <si>
    <t xml:space="preserve">M 6.6 - 46 km SSE of Gisborne, New Zealand</t>
  </si>
  <si>
    <t xml:space="preserve">20/12/2007 07:55</t>
  </si>
  <si>
    <t xml:space="preserve">M 6.7 - 80 km NNE of Antofagasta, Chile</t>
  </si>
  <si>
    <t xml:space="preserve">16/12/2007 08:09</t>
  </si>
  <si>
    <t xml:space="preserve">Ant</t>
  </si>
  <si>
    <t xml:space="preserve">M 7.4 - 18 km WNW of Basse-Pointe, Martinique</t>
  </si>
  <si>
    <t xml:space="preserve">29/11/2007 19:00</t>
  </si>
  <si>
    <t xml:space="preserve">Basse-Pointe, Martinique</t>
  </si>
  <si>
    <t xml:space="preserve">Martinique</t>
  </si>
  <si>
    <t xml:space="preserve">M 6.6 - 60 km SSE of Kirakira, Solomon Islands</t>
  </si>
  <si>
    <t xml:space="preserve">27/11/2007 11:49</t>
  </si>
  <si>
    <t xml:space="preserve">M 6.5 - 34 km N of Dompu, Indonesia</t>
  </si>
  <si>
    <t xml:space="preserve">25/11/2007 19:53</t>
  </si>
  <si>
    <t xml:space="preserve">Dompu, Indonesia</t>
  </si>
  <si>
    <t xml:space="preserve">M 6.5 - 28 km NNW of Dompu, Indonesia</t>
  </si>
  <si>
    <t xml:space="preserve">25/11/2007 16:02</t>
  </si>
  <si>
    <t xml:space="preserve">M 6.8 - 107 km N of Lae, Papua New Guinea</t>
  </si>
  <si>
    <t xml:space="preserve">22/11/2007 08:48</t>
  </si>
  <si>
    <t xml:space="preserve">M 6.8 - 30 km E of Macas, Ecuador</t>
  </si>
  <si>
    <t xml:space="preserve">16/11/2007 03:13</t>
  </si>
  <si>
    <t xml:space="preserve">Macas, Ecuador</t>
  </si>
  <si>
    <t xml:space="preserve">M 6.8 - 82 km NNE of Antofagasta, Chile</t>
  </si>
  <si>
    <t xml:space="preserve">15/11/2007 15:05</t>
  </si>
  <si>
    <t xml:space="preserve">M 7.7 - 36 km ESE of Tocopilla, Chile</t>
  </si>
  <si>
    <t xml:space="preserve">14/11/2007 15:40</t>
  </si>
  <si>
    <t xml:space="preserve">Tocopilla, Chile</t>
  </si>
  <si>
    <t xml:space="preserve">M 6.8 - 138 km W of Bengkulu, Indonesia</t>
  </si>
  <si>
    <t xml:space="preserve">24/10/2007 21:02</t>
  </si>
  <si>
    <t xml:space="preserve">M 6.8 - 70 km N of Te Anau, New Zealand</t>
  </si>
  <si>
    <t xml:space="preserve">15/10/2007 12:29</t>
  </si>
  <si>
    <t xml:space="preserve">M 6.8 - 154 km ESE of Kokopo, Papua New Guinea</t>
  </si>
  <si>
    <t xml:space="preserve">26/09/2007 12:36</t>
  </si>
  <si>
    <t xml:space="preserve">M 6.7 - 118 km SSW of Padang, Indonesia</t>
  </si>
  <si>
    <t xml:space="preserve">20/09/2007 08:31</t>
  </si>
  <si>
    <t xml:space="preserve">M 7.0 - 153 km SSW of Padang, Indonesia</t>
  </si>
  <si>
    <t xml:space="preserve">13/09/2007 03:35</t>
  </si>
  <si>
    <t xml:space="preserve">M 6.5 - Kepulauan Mentawai region, Indonesia</t>
  </si>
  <si>
    <t xml:space="preserve">13/09/2007 02:30</t>
  </si>
  <si>
    <t xml:space="preserve">Kepulauan Mentawai region, Indonesia</t>
  </si>
  <si>
    <t xml:space="preserve">M 7.9 - 87 km SW of Sungai Penuh, Indonesia</t>
  </si>
  <si>
    <t xml:space="preserve">12/09/2007 23:49</t>
  </si>
  <si>
    <t xml:space="preserve">M 7.8 - 148 km WSW of Sungai Penuh, Indonesia</t>
  </si>
  <si>
    <t xml:space="preserve">M 8.4 - 122 km SW of Bengkulu, Indonesia</t>
  </si>
  <si>
    <t xml:space="preserve">12/09/2007 11:10</t>
  </si>
  <si>
    <t xml:space="preserve">M 6.8 - 39 km WNW of Timbiquí, Colombia</t>
  </si>
  <si>
    <t xml:space="preserve">10/09/2007 01:49</t>
  </si>
  <si>
    <t xml:space="preserve">Timbiquí, Colombia</t>
  </si>
  <si>
    <t xml:space="preserve">M 7.2 - 97 km S of Lata, Solomon Islands</t>
  </si>
  <si>
    <t xml:space="preserve">02/09/2007 01:05</t>
  </si>
  <si>
    <t xml:space="preserve">M 6.5 - 31 km WSW of Malango, Solomon Islands</t>
  </si>
  <si>
    <t xml:space="preserve">16/08/2007 08:39</t>
  </si>
  <si>
    <t xml:space="preserve">M 8.0 - 41 km SW of San Vicente de Cañete, Peru</t>
  </si>
  <si>
    <t xml:space="preserve">15/08/2007 23:40</t>
  </si>
  <si>
    <t xml:space="preserve">San Vicente de Cañete, Peru</t>
  </si>
  <si>
    <t xml:space="preserve">M 7.5 - 35 km NNE of Rengasdengklok, Indonesia</t>
  </si>
  <si>
    <t xml:space="preserve">08/08/2007 17:05</t>
  </si>
  <si>
    <t xml:space="preserve">Rengasdengklok, Indonesia</t>
  </si>
  <si>
    <t xml:space="preserve">M 7.2 - 56 km E of Luganville, Vanuatu</t>
  </si>
  <si>
    <t xml:space="preserve">01/08/2007 17:08</t>
  </si>
  <si>
    <t xml:space="preserve">Luganville, Vanuatu</t>
  </si>
  <si>
    <t xml:space="preserve">M 6.9 - 140 km NNW of Tobelo, Indonesia</t>
  </si>
  <si>
    <t xml:space="preserve">26/07/2007 05:40</t>
  </si>
  <si>
    <t xml:space="preserve">M 6.8 - 133 km WNW of Mikuni, Japan</t>
  </si>
  <si>
    <t xml:space="preserve">16/07/2007 14:17</t>
  </si>
  <si>
    <t xml:space="preserve">Mikuni, Japan</t>
  </si>
  <si>
    <t xml:space="preserve">M 6.6 - 20 km NNW of Kashiwazaki, Japan</t>
  </si>
  <si>
    <t xml:space="preserve">16/07/2007 01:13</t>
  </si>
  <si>
    <t xml:space="preserve">Kashiwazaki, Japan</t>
  </si>
  <si>
    <t xml:space="preserve">M 6.7 - 43 km SSE of Iztapa, Guatemala</t>
  </si>
  <si>
    <t xml:space="preserve">13/06/2007 19:29</t>
  </si>
  <si>
    <t xml:space="preserve">Iztapa, Guatemala</t>
  </si>
  <si>
    <t xml:space="preserve">M 6.9 - 113 km SSE of Panguna, Papua New Guinea</t>
  </si>
  <si>
    <t xml:space="preserve">01/04/2007 21:11</t>
  </si>
  <si>
    <t xml:space="preserve">M 6.6 - 99 km SSE of Panguna, Papua New Guinea</t>
  </si>
  <si>
    <t xml:space="preserve">01/04/2007 20:47</t>
  </si>
  <si>
    <t xml:space="preserve">M 8.1 - 45 km SSE of Gizo, Solomon Islands</t>
  </si>
  <si>
    <t xml:space="preserve">01/04/2007 20:39</t>
  </si>
  <si>
    <t xml:space="preserve">M 6.7 - 46 km NW of Nanao, Japan</t>
  </si>
  <si>
    <t xml:space="preserve">25/03/2007 00:41</t>
  </si>
  <si>
    <t xml:space="preserve">Nanao, Japan</t>
  </si>
  <si>
    <t xml:space="preserve">M 7.1 - 119 km S of Isangel, Vanuatu</t>
  </si>
  <si>
    <t xml:space="preserve">25/03/2007 00:40</t>
  </si>
  <si>
    <t xml:space="preserve">M 6.7 - 206 km SSW of Sofifi, Indonesia</t>
  </si>
  <si>
    <t xml:space="preserve">20/02/2007 08:04</t>
  </si>
  <si>
    <t xml:space="preserve">S</t>
  </si>
  <si>
    <t xml:space="preserve">M 7.5 - 126 km WNW of Ternate, Indonesia</t>
  </si>
  <si>
    <t xml:space="preserve">21/01/2007 11:27</t>
  </si>
  <si>
    <t xml:space="preserve">M 8.1 - east of the Kuril Islands</t>
  </si>
  <si>
    <t xml:space="preserve">13/01/2007 04:23</t>
  </si>
  <si>
    <t xml:space="preserve">the Kuril Islands</t>
  </si>
  <si>
    <t xml:space="preserve">M 6.9 - 26 km W of Hengchun, Taiwan</t>
  </si>
  <si>
    <t xml:space="preserve">26/12/2006 12:34</t>
  </si>
  <si>
    <t xml:space="preserve">Hengchun, Taiwan</t>
  </si>
  <si>
    <t xml:space="preserve">M 7.1 - 30 km SW of Hengchun, Taiwan</t>
  </si>
  <si>
    <t xml:space="preserve">26/12/2006 12:26</t>
  </si>
  <si>
    <t xml:space="preserve">M 8.3 - Kuril Islands</t>
  </si>
  <si>
    <t xml:space="preserve">15/11/2006 11:14</t>
  </si>
  <si>
    <t xml:space="preserve">Kuril Islands</t>
  </si>
  <si>
    <t xml:space="preserve">M 6.6 - 155 km SE of Kimbe, Papua New Guinea</t>
  </si>
  <si>
    <t xml:space="preserve">07/11/2006 17:38</t>
  </si>
  <si>
    <t xml:space="preserve">M 6.7 - 52 km SW of San Vicente de Cañete, Peru</t>
  </si>
  <si>
    <t xml:space="preserve">20/10/2006 10:48</t>
  </si>
  <si>
    <t xml:space="preserve">M 6.7 - 100 km ESE of Kimbe, Papua New Guinea</t>
  </si>
  <si>
    <t xml:space="preserve">17/10/2006 01:25</t>
  </si>
  <si>
    <t xml:space="preserve">M 6.7 - 14 km SW of Puako, Hawaii</t>
  </si>
  <si>
    <t xml:space="preserve">15/10/2006 17:07</t>
  </si>
  <si>
    <t xml:space="preserve">md</t>
  </si>
  <si>
    <t xml:space="preserve">Puako, Hawaii</t>
  </si>
  <si>
    <t xml:space="preserve">M 6.9 - 201 km ESE of Hihifo, Tonga</t>
  </si>
  <si>
    <t xml:space="preserve">28/09/2006 06:22</t>
  </si>
  <si>
    <t xml:space="preserve">M 6.8 - 49 km S of Panguna, Papua New Guinea</t>
  </si>
  <si>
    <t xml:space="preserve">01/09/2006 10:18</t>
  </si>
  <si>
    <t xml:space="preserve">M 6.5 - 81 km ESE of Ozernovskiy, Russia</t>
  </si>
  <si>
    <t xml:space="preserve">24/08/2006 21:50</t>
  </si>
  <si>
    <t xml:space="preserve">M 6.8 - 51 km NE of Norsup, Vanuatu</t>
  </si>
  <si>
    <t xml:space="preserve">07/08/2006 22:18</t>
  </si>
  <si>
    <t xml:space="preserve">M 7.7 - 226 km SSW of Singaparna, Indonesia</t>
  </si>
  <si>
    <t xml:space="preserve">17/07/2006 08:19</t>
  </si>
  <si>
    <t xml:space="preserve">Singaparna, Indonesia</t>
  </si>
  <si>
    <t xml:space="preserve">M 6.5 - 111 km E of Kimbe, Papua New Guinea</t>
  </si>
  <si>
    <t xml:space="preserve">28/05/2006 03:12</t>
  </si>
  <si>
    <t xml:space="preserve">M 6.6 - 42 km NNW of Tilichiki, Russia</t>
  </si>
  <si>
    <t xml:space="preserve">22/05/2006 11:12</t>
  </si>
  <si>
    <t xml:space="preserve">Tilichiki, Russia</t>
  </si>
  <si>
    <t xml:space="preserve">M 6.8 - 256 km SSW of Singkil, Indonesia</t>
  </si>
  <si>
    <t xml:space="preserve">16/05/2006 15:28</t>
  </si>
  <si>
    <t xml:space="preserve">Singkil, Indonesia</t>
  </si>
  <si>
    <t xml:space="preserve">M 8.0 - 47 km SSE of Pangai, Tonga</t>
  </si>
  <si>
    <t xml:space="preserve">03/05/2006 15:26</t>
  </si>
  <si>
    <t xml:space="preserve">M 8.0 - 50 km ESE of Pangai, Tonga</t>
  </si>
  <si>
    <t xml:space="preserve">M 6.5 - 73 km WNW of Copiapó, Chile</t>
  </si>
  <si>
    <t xml:space="preserve">30/04/2006 21:40</t>
  </si>
  <si>
    <t xml:space="preserve">Copiapó, Chile</t>
  </si>
  <si>
    <t xml:space="preserve">M 6.7 - 78 km WNW of Copiapó, Chile</t>
  </si>
  <si>
    <t xml:space="preserve">30/04/2006 19:17</t>
  </si>
  <si>
    <t xml:space="preserve">M 6.6 - 80 km E of Tilichiki, Russia</t>
  </si>
  <si>
    <t xml:space="preserve">29/04/2006 16:58</t>
  </si>
  <si>
    <t xml:space="preserve">M 7.6 - 80 km NE of Tilichiki, Russia</t>
  </si>
  <si>
    <t xml:space="preserve">20/04/2006 23:25</t>
  </si>
  <si>
    <t xml:space="preserve">M 6.5 - 130 km NNW of Lautoka, Fiji</t>
  </si>
  <si>
    <t xml:space="preserve">07/04/2006 08:30</t>
  </si>
  <si>
    <t xml:space="preserve">Lautoka, Fiji</t>
  </si>
  <si>
    <t xml:space="preserve">M 6.7 - 108 km W of Ambon, Indonesia</t>
  </si>
  <si>
    <t xml:space="preserve">14/03/2006 06:57</t>
  </si>
  <si>
    <t xml:space="preserve">Ambon, Indonesia</t>
  </si>
  <si>
    <t xml:space="preserve">M 7.0 - 160 km SE of Chipinge, Zimbabwe</t>
  </si>
  <si>
    <t xml:space="preserve">22/02/2006 22:19</t>
  </si>
  <si>
    <t xml:space="preserve">Chipinge, Zimbabwe</t>
  </si>
  <si>
    <t xml:space="preserve">Mozambique</t>
  </si>
  <si>
    <t xml:space="preserve">M 6.7 - 26 km NE of Kýthira, Greece</t>
  </si>
  <si>
    <t xml:space="preserve">08/01/2006 11:34</t>
  </si>
  <si>
    <t xml:space="preserve">Kýthira, Greece</t>
  </si>
  <si>
    <t xml:space="preserve">M 6.6 - 75 km SSW of Bahía de Kino, Mexico</t>
  </si>
  <si>
    <t xml:space="preserve">04/01/2006 08:32</t>
  </si>
  <si>
    <t xml:space="preserve">M 6.5 - 53 km SW of Ashk?sham, Afghanistan</t>
  </si>
  <si>
    <t xml:space="preserve">12/12/2005 21:47</t>
  </si>
  <si>
    <t xml:space="preserve">M 6.8 - 76 km ESE of Kalemie, Democratic Republic of the Congo</t>
  </si>
  <si>
    <t xml:space="preserve">05/12/2005 12:19</t>
  </si>
  <si>
    <t xml:space="preserve">Kalemie, Democratic Republic</t>
  </si>
  <si>
    <t xml:space="preserve">Tanzania</t>
  </si>
  <si>
    <t xml:space="preserve">M 6.5 - 80 km ESE of Ishinomaki, Japan</t>
  </si>
  <si>
    <t xml:space="preserve">02/12/2005 13:13</t>
  </si>
  <si>
    <t xml:space="preserve">M 6.5 - 57 km SE of Sinabang, Indonesia</t>
  </si>
  <si>
    <t xml:space="preserve">19/11/2005 14:10</t>
  </si>
  <si>
    <t xml:space="preserve">M 6.8 - 68 km NNE of San Pedro de Atacama, Chile</t>
  </si>
  <si>
    <t xml:space="preserve">17/11/2005 19:26</t>
  </si>
  <si>
    <t xml:space="preserve">M 7.6 - 21 km NNE of Muzaffar?b?d, Pakistan</t>
  </si>
  <si>
    <t xml:space="preserve">08/10/2005 03:50</t>
  </si>
  <si>
    <t xml:space="preserve">Muzaffar?b?d, Pakistan</t>
  </si>
  <si>
    <t xml:space="preserve">M 6.6 - 129 km SSW of Kokopo, Papua New Guinea</t>
  </si>
  <si>
    <t xml:space="preserve">29/09/2005 15:50</t>
  </si>
  <si>
    <t xml:space="preserve">M 7.5 - 39 km NW of Yurimaguas, Peru</t>
  </si>
  <si>
    <t xml:space="preserve">26/09/2005 01:55</t>
  </si>
  <si>
    <t xml:space="preserve">Yurimaguas, Peru</t>
  </si>
  <si>
    <t xml:space="preserve">M 7.6 - 135 km E of Kokopo, Papua New Guinea</t>
  </si>
  <si>
    <t xml:space="preserve">09/09/2005 07:26</t>
  </si>
  <si>
    <t xml:space="preserve">M 7.2 - 66 km ESE of Ishinomaki, Japan</t>
  </si>
  <si>
    <t xml:space="preserve">16/08/2005 02:46</t>
  </si>
  <si>
    <t xml:space="preserve">M 7.2 - Nicobar Islands, India region</t>
  </si>
  <si>
    <t xml:space="preserve">24/07/2005 15:42</t>
  </si>
  <si>
    <t xml:space="preserve">M 6.7 - 94 km WSW of Singkil, Indonesia</t>
  </si>
  <si>
    <t xml:space="preserve">05/07/2005 01:52</t>
  </si>
  <si>
    <t xml:space="preserve">M 6.6 - 32 km W of San Juan del Sur, Nicaragua</t>
  </si>
  <si>
    <t xml:space="preserve">02/07/2005 02:16</t>
  </si>
  <si>
    <t xml:space="preserve">San Juan del Sur, Nicaragua</t>
  </si>
  <si>
    <t xml:space="preserve">M 7.2 - 153 km W of Big Lagoon, California</t>
  </si>
  <si>
    <t xml:space="preserve">15/06/2005 02:50</t>
  </si>
  <si>
    <t xml:space="preserve">Big Lagoon, California</t>
  </si>
  <si>
    <t xml:space="preserve">M 7.8 - 102 km ENE of Iquique, Chile</t>
  </si>
  <si>
    <t xml:space="preserve">13/06/2005 22:44</t>
  </si>
  <si>
    <t xml:space="preserve">M 6.9 - 89 km WSW of Singkil, Indonesia</t>
  </si>
  <si>
    <t xml:space="preserve">19/05/2005 01:54</t>
  </si>
  <si>
    <t xml:space="preserve">M 6.7 - 125 km SW of Padangsidempuan, Indonesia</t>
  </si>
  <si>
    <t xml:space="preserve">14/05/2005 05:05</t>
  </si>
  <si>
    <t xml:space="preserve">Padangsidempuan, Indonesia</t>
  </si>
  <si>
    <t xml:space="preserve">M 6.5 - 106 km SW of Padang, Indonesia</t>
  </si>
  <si>
    <t xml:space="preserve">10/04/2005 11:14</t>
  </si>
  <si>
    <t xml:space="preserve">M 6.7 - 113 km SW of Padang, Indonesia</t>
  </si>
  <si>
    <t xml:space="preserve">10/04/2005 10:29</t>
  </si>
  <si>
    <t xml:space="preserve">M 8.6 - 78 km WSW of Singkil, Indonesia</t>
  </si>
  <si>
    <t xml:space="preserve">28/03/2005 16:09</t>
  </si>
  <si>
    <t xml:space="preserve">M 6.6 - 28 km NNW of Maebaru-ch??, Japan</t>
  </si>
  <si>
    <t xml:space="preserve">20/03/2005 01:53</t>
  </si>
  <si>
    <t xml:space="preserve">Maebaru-ch??, Japan</t>
  </si>
  <si>
    <t xml:space="preserve">02/03/2005 10:42</t>
  </si>
  <si>
    <t xml:space="preserve">M 6.8 - 99 km WNW of Sinabang, Indonesia</t>
  </si>
  <si>
    <t xml:space="preserve">26/02/2005 12:56</t>
  </si>
  <si>
    <t xml:space="preserve">M 6.5 - 81 km SSW of Katabu, Indonesia</t>
  </si>
  <si>
    <t xml:space="preserve">19/02/2005 00:04</t>
  </si>
  <si>
    <t xml:space="preserve">M 6.5 - Pulau-Pulau Talaud, Indonesia</t>
  </si>
  <si>
    <t xml:space="preserve">15/02/2005 14:42</t>
  </si>
  <si>
    <t xml:space="preserve">Pulau-Pulau Talaud, Indonesia</t>
  </si>
  <si>
    <t xml:space="preserve">M 6.7 - 52 km SW of Sola, Vanuatu</t>
  </si>
  <si>
    <t xml:space="preserve">08/02/2005 14:48</t>
  </si>
  <si>
    <t xml:space="preserve">M 7.1 - 138 km SW of Palimbang, Philippines</t>
  </si>
  <si>
    <t xml:space="preserve">05/02/2005 12:23</t>
  </si>
  <si>
    <t xml:space="preserve">Palimbang, Philippines</t>
  </si>
  <si>
    <t xml:space="preserve">M 6.6 - 161 km SE of Katsuura, Japan</t>
  </si>
  <si>
    <t xml:space="preserve">19/01/2005 06:11</t>
  </si>
  <si>
    <t xml:space="preserve">Katsuura, Japan</t>
  </si>
  <si>
    <t xml:space="preserve">26/12/2004 09:20</t>
  </si>
  <si>
    <t xml:space="preserve">M 7.2 - 284 km WNW of Sabang, Indonesia</t>
  </si>
  <si>
    <t xml:space="preserve">26/12/2004 04:21</t>
  </si>
  <si>
    <t xml:space="preserve">Sabang, Indonesia</t>
  </si>
  <si>
    <t xml:space="preserve">M 9.1 - 2004 Sumatra - Andaman Islands Earthquake</t>
  </si>
  <si>
    <t xml:space="preserve">26/12/2004 00:58</t>
  </si>
  <si>
    <t xml:space="preserve">2004 Sumatra - Andaman Islands Earthquake</t>
  </si>
  <si>
    <t xml:space="preserve">M 8.1 - north of Macquarie Island</t>
  </si>
  <si>
    <t xml:space="preserve">23/12/2004 14:59</t>
  </si>
  <si>
    <t xml:space="preserve">Macquarie Island</t>
  </si>
  <si>
    <t xml:space="preserve">M 6.8 - 36 km S of George Town, Cayman Islands</t>
  </si>
  <si>
    <t xml:space="preserve">14/12/2004 23:20</t>
  </si>
  <si>
    <t xml:space="preserve">George Town, Cayman Islands</t>
  </si>
  <si>
    <t xml:space="preserve">M 6.8 - 54 km SSW of Nemuro, Japan</t>
  </si>
  <si>
    <t xml:space="preserve">06/12/2004 14:15</t>
  </si>
  <si>
    <t xml:space="preserve">Nemuro, Japan</t>
  </si>
  <si>
    <t xml:space="preserve">M 7.0 - 51 km SW of Nemuro, Japan</t>
  </si>
  <si>
    <t xml:space="preserve">28/11/2004 18:32</t>
  </si>
  <si>
    <t xml:space="preserve">M 7.1 - 29 km SSW of Nabire, Indonesia</t>
  </si>
  <si>
    <t xml:space="preserve">26/11/2004 02:25</t>
  </si>
  <si>
    <t xml:space="preserve">Nabire, Indonesia</t>
  </si>
  <si>
    <t xml:space="preserve">M 7.1 - 255 km W of Riverton, New Zealand</t>
  </si>
  <si>
    <t xml:space="preserve">22/11/2004 20:26</t>
  </si>
  <si>
    <t xml:space="preserve">Riverton, New Zealand</t>
  </si>
  <si>
    <t xml:space="preserve">M 7.2 - 32 km SSW of Pizarro, Colombia</t>
  </si>
  <si>
    <t xml:space="preserve">15/11/2004 09:06</t>
  </si>
  <si>
    <t xml:space="preserve">Pizarro, Colombia</t>
  </si>
  <si>
    <t xml:space="preserve">M 7.5 - 63 km NW of Maubara, Timor Leste</t>
  </si>
  <si>
    <t xml:space="preserve">11/11/2004 21:26</t>
  </si>
  <si>
    <t xml:space="preserve">M 6.7 - 80 km SSE of Kirakira, Solomon Islands</t>
  </si>
  <si>
    <t xml:space="preserve">11/11/2004 17:34</t>
  </si>
  <si>
    <t xml:space="preserve">M 6.7 - 189 km SW of Port McNeill, Canada</t>
  </si>
  <si>
    <t xml:space="preserve">02/11/2004 10:02</t>
  </si>
  <si>
    <t xml:space="preserve">M 6.6 - 8 km SSW of Ojiya, Japan</t>
  </si>
  <si>
    <t xml:space="preserve">23/10/2004 08:56</t>
  </si>
  <si>
    <t xml:space="preserve">Ojiya, Japan</t>
  </si>
  <si>
    <t xml:space="preserve">M 6.7 - 31 km WNW of Yonakuni, Japan</t>
  </si>
  <si>
    <t xml:space="preserve">15/10/2004 04:08</t>
  </si>
  <si>
    <t xml:space="preserve">Yonakuni, Japan</t>
  </si>
  <si>
    <t xml:space="preserve">M 7.0 - 43 km SSW of Masachapa, Nicaragua</t>
  </si>
  <si>
    <t xml:space="preserve">09/10/2004 21:26</t>
  </si>
  <si>
    <t xml:space="preserve">M 6.5 - 9 km W of Talisay, Philippines</t>
  </si>
  <si>
    <t xml:space="preserve">08/10/2004 14:36</t>
  </si>
  <si>
    <t xml:space="preserve">Talisay, Philippines</t>
  </si>
  <si>
    <t xml:space="preserve">M 6.8 - 60 km SSE of Kirakira, Solomon Islands</t>
  </si>
  <si>
    <t xml:space="preserve">08/10/2004 08:27</t>
  </si>
  <si>
    <t xml:space="preserve">M 6.6 - 129 km ESE of Shing?, Japan</t>
  </si>
  <si>
    <t xml:space="preserve">06/09/2004 23:29</t>
  </si>
  <si>
    <t xml:space="preserve">Shing?, Japan</t>
  </si>
  <si>
    <t xml:space="preserve">M 7.4 - 118 km ESE of Shing?, Japan</t>
  </si>
  <si>
    <t xml:space="preserve">05/09/2004 14:57</t>
  </si>
  <si>
    <t xml:space="preserve">M 7.2 - 94 km SE of Shing?, Japan</t>
  </si>
  <si>
    <t xml:space="preserve">05/09/2004 10:07</t>
  </si>
  <si>
    <t xml:space="preserve">M 6.5 - 67 km ESE of Teno, Chile</t>
  </si>
  <si>
    <t xml:space="preserve">28/08/2004 13:41</t>
  </si>
  <si>
    <t xml:space="preserve">Teno, Chile</t>
  </si>
  <si>
    <t xml:space="preserve">M 6.5 - 117 km WNW of Manokwari, Indonesia</t>
  </si>
  <si>
    <t xml:space="preserve">28/07/2004 03:56</t>
  </si>
  <si>
    <t xml:space="preserve">M 6.9 - 24 km ENE of Atlasovo, Russia</t>
  </si>
  <si>
    <t xml:space="preserve">10/06/2004 15:19</t>
  </si>
  <si>
    <t xml:space="preserve">Atlasovo, Russia</t>
  </si>
  <si>
    <t xml:space="preserve">M 6.6 - 11 km N of Cañete, Chile</t>
  </si>
  <si>
    <t xml:space="preserve">03/05/2004 04:36</t>
  </si>
  <si>
    <t xml:space="preserve">M 6.7 - 105 km WNW of Naisano Dua, Indonesia</t>
  </si>
  <si>
    <t xml:space="preserve">23/04/2004 01:50</t>
  </si>
  <si>
    <t xml:space="preserve">Naisano Dua, Indonesia</t>
  </si>
  <si>
    <t xml:space="preserve">M 6.5 - 86 km NNW of Sola, Vanuatu</t>
  </si>
  <si>
    <t xml:space="preserve">09/04/2004 15:23</t>
  </si>
  <si>
    <t xml:space="preserve">M 6.6 - Afghanistan-Tajikistan-Pakistan region</t>
  </si>
  <si>
    <t xml:space="preserve">05/04/2004 21:24</t>
  </si>
  <si>
    <t xml:space="preserve">Afghanistan-Tajikistan-Pakistan region</t>
  </si>
  <si>
    <t xml:space="preserve">M 6.7 - 38 km SSW of Nabire, Indonesia</t>
  </si>
  <si>
    <t xml:space="preserve">08/02/2004 08:58</t>
  </si>
  <si>
    <t xml:space="preserve">M 7.3 - Near the south coast of Papua, Indonesia</t>
  </si>
  <si>
    <t xml:space="preserve">07/02/2004 02:42</t>
  </si>
  <si>
    <t xml:space="preserve">M 7.0 - 28 km S of Nabire, Indonesia</t>
  </si>
  <si>
    <t xml:space="preserve">05/02/2004 21:05</t>
  </si>
  <si>
    <t xml:space="preserve">M 6.7 - 107 km NW of Ambon, Indonesia</t>
  </si>
  <si>
    <t xml:space="preserve">28/01/2004 22:15</t>
  </si>
  <si>
    <t xml:space="preserve">M 7.3 - 201 km ESE of Tadine, New Caledonia</t>
  </si>
  <si>
    <t xml:space="preserve">27/12/2003 16:00</t>
  </si>
  <si>
    <t xml:space="preserve">M 6.6 - 13 km SSW of Bam, Iran</t>
  </si>
  <si>
    <t xml:space="preserve">26/12/2003 01:56</t>
  </si>
  <si>
    <t xml:space="preserve">M 6.5 - 3 km SSE of Progreso, Panama</t>
  </si>
  <si>
    <t xml:space="preserve">25/12/2003 07:11</t>
  </si>
  <si>
    <t xml:space="preserve">Progreso, Panama</t>
  </si>
  <si>
    <t xml:space="preserve">M 6.5 - 10 km NE of San Simeon, California</t>
  </si>
  <si>
    <t xml:space="preserve">22/12/2003 19:15</t>
  </si>
  <si>
    <t xml:space="preserve">San Simeon, California</t>
  </si>
  <si>
    <t xml:space="preserve">M 6.8 - 92 km E of Yujing, Taiwan</t>
  </si>
  <si>
    <t xml:space="preserve">10/12/2003 04:38</t>
  </si>
  <si>
    <t xml:space="preserve">M 6.6 - 82 km E of Kimbe, Papua New Guinea</t>
  </si>
  <si>
    <t xml:space="preserve">25/11/2003 20:19</t>
  </si>
  <si>
    <t xml:space="preserve">M 6.5 - 4 km NW of Can-Avid, Philippines</t>
  </si>
  <si>
    <t xml:space="preserve">18/11/2003 17:14</t>
  </si>
  <si>
    <t xml:space="preserve">Can-Avid, Philippines</t>
  </si>
  <si>
    <t xml:space="preserve">M 6.6 - 51 km NW of Isangel, Vanuatu</t>
  </si>
  <si>
    <t xml:space="preserve">06/11/2003 10:38</t>
  </si>
  <si>
    <t xml:space="preserve">M 7.0 - 133 km ESE of Ishinomaki, Japan</t>
  </si>
  <si>
    <t xml:space="preserve">31/10/2003 01:06</t>
  </si>
  <si>
    <t xml:space="preserve">M 6.7 - 39 km SSE of Kushiro, Japan</t>
  </si>
  <si>
    <t xml:space="preserve">08/10/2003 09:06</t>
  </si>
  <si>
    <t xml:space="preserve">Kushiro, Japan</t>
  </si>
  <si>
    <t xml:space="preserve">M 6.7 - 9 km S of Aktash, Russia</t>
  </si>
  <si>
    <t xml:space="preserve">01/10/2003 01:03</t>
  </si>
  <si>
    <t xml:space="preserve">Aktash, Russia</t>
  </si>
  <si>
    <t xml:space="preserve">M 6.5 - 58 km S of Kushiro, Japan</t>
  </si>
  <si>
    <t xml:space="preserve">29/09/2003 02:36</t>
  </si>
  <si>
    <t xml:space="preserve">M 7.3 - 29 km S of Aktash, Russia</t>
  </si>
  <si>
    <t xml:space="preserve">27/09/2003 11:33</t>
  </si>
  <si>
    <t xml:space="preserve">M 7.4 - 119 km ESE of Shizunai-furukawach?, Japan</t>
  </si>
  <si>
    <t xml:space="preserve">25/09/2003 21:08</t>
  </si>
  <si>
    <t xml:space="preserve">M 8.2 - 134 km SSW of Kushiro, Japan</t>
  </si>
  <si>
    <t xml:space="preserve">25/09/2003 19:50</t>
  </si>
  <si>
    <t xml:space="preserve">M 6.6 - 16 km SE of Taungdwingyi, Myanmar</t>
  </si>
  <si>
    <t xml:space="preserve">21/09/2003 18:16</t>
  </si>
  <si>
    <t xml:space="preserve">Taungdwingyi, Myanmar</t>
  </si>
  <si>
    <t xml:space="preserve">M 7.2 - 56 km NW of Te Anau, New Zealand</t>
  </si>
  <si>
    <t xml:space="preserve">21/08/2003 12:12</t>
  </si>
  <si>
    <t xml:space="preserve">M 7.6 - Scotia Sea</t>
  </si>
  <si>
    <t xml:space="preserve">04/08/2003 04:37</t>
  </si>
  <si>
    <t xml:space="preserve">M 6.5 - 41 km N of Rabaul, Papua New Guinea</t>
  </si>
  <si>
    <t xml:space="preserve">15/07/2003 18:46</t>
  </si>
  <si>
    <t xml:space="preserve">M 6.8 - 42 km W of Ovalle, Chile</t>
  </si>
  <si>
    <t xml:space="preserve">20/06/2003 13:30</t>
  </si>
  <si>
    <t xml:space="preserve">M 6.9 - 25 km ESE of Atlasovo, Russia</t>
  </si>
  <si>
    <t xml:space="preserve">16/06/2003 22:08</t>
  </si>
  <si>
    <t xml:space="preserve">M 6.6 - 87 km SSE of Kokopo, Papua New Guinea</t>
  </si>
  <si>
    <t xml:space="preserve">07/06/2003 00:32</t>
  </si>
  <si>
    <t xml:space="preserve">M 7.0 - 116 km NE of Tobelo, Indonesia</t>
  </si>
  <si>
    <t xml:space="preserve">26/05/2003 19:23</t>
  </si>
  <si>
    <t xml:space="preserve">M 7.0 - 27 km SSW of ?funato, Japan</t>
  </si>
  <si>
    <t xml:space="preserve">26/05/2003 09:24</t>
  </si>
  <si>
    <t xml:space="preserve">M 6.8 - 25 km WNW of Dellys, Algeria</t>
  </si>
  <si>
    <t xml:space="preserve">21/05/2003 18:44</t>
  </si>
  <si>
    <t xml:space="preserve">Dellys, Algeria</t>
  </si>
  <si>
    <t xml:space="preserve">Algeria</t>
  </si>
  <si>
    <t xml:space="preserve">M 6.5 - 46 km NE of Ruteng, Indonesia</t>
  </si>
  <si>
    <t xml:space="preserve">25/03/2003 02:53</t>
  </si>
  <si>
    <t xml:space="preserve">Ruteng, Indonesia</t>
  </si>
  <si>
    <t xml:space="preserve">M 6.8 - 114 km ESE of Kokopo, Papua New Guinea</t>
  </si>
  <si>
    <t xml:space="preserve">11/03/2003 07:27</t>
  </si>
  <si>
    <t xml:space="preserve">M 7.6 - 16 km SSW of Cuyutlán, Mexico</t>
  </si>
  <si>
    <t xml:space="preserve">22/01/2003 02:06</t>
  </si>
  <si>
    <t xml:space="preserve">Cuyutlán, Mexico</t>
  </si>
  <si>
    <t xml:space="preserve">M 6.5 - 33 km S of Puerto San José, Guatemala</t>
  </si>
  <si>
    <t xml:space="preserve">21/01/2003 02:46</t>
  </si>
  <si>
    <t xml:space="preserve">M 7.3 - 126 km W of Kirakira, Solomon Islands</t>
  </si>
  <si>
    <t xml:space="preserve">20/01/2003 08:43</t>
  </si>
  <si>
    <t xml:space="preserve">M 6.7 - 191 km SE of Kokopo, Papua New Guinea</t>
  </si>
  <si>
    <t xml:space="preserve">10/01/2003 13:11</t>
  </si>
  <si>
    <t xml:space="preserve">M 6.7 - New Ireland region, Papua New Guinea</t>
  </si>
  <si>
    <t xml:space="preserve">12/12/2002 08:30</t>
  </si>
  <si>
    <t xml:space="preserve">New Ireland region, Papua New Guinea</t>
  </si>
  <si>
    <t xml:space="preserve">M 7.9 - 75 km E of Cantwell, Alaska</t>
  </si>
  <si>
    <t xml:space="preserve">03/11/2002 22:12</t>
  </si>
  <si>
    <t xml:space="preserve">Cantwell, Alaska</t>
  </si>
  <si>
    <t xml:space="preserve">M 7.4 - 50 km NW of Sinabang, Indonesia</t>
  </si>
  <si>
    <t xml:space="preserve">02/11/2002 01:26</t>
  </si>
  <si>
    <t xml:space="preserve">M 6.6 - 53 km ENE of Cantwell, Alaska</t>
  </si>
  <si>
    <t xml:space="preserve">23/10/2002 11:27</t>
  </si>
  <si>
    <t xml:space="preserve">M 6.7 - 72 km S of Manokwari, Indonesia</t>
  </si>
  <si>
    <t xml:space="preserve">10/10/2002 12:28</t>
  </si>
  <si>
    <t xml:space="preserve">M 7.6 - 102 km SSE of Manokwari, Indonesia</t>
  </si>
  <si>
    <t xml:space="preserve">10/10/2002 10:50</t>
  </si>
  <si>
    <t xml:space="preserve">M 6.5 - 152 km NNE of Bamboo Flat, India</t>
  </si>
  <si>
    <t xml:space="preserve">13/09/2002 22:28</t>
  </si>
  <si>
    <t xml:space="preserve">M 7.6 - 68 km ESE of Aitape, Papua New Guinea</t>
  </si>
  <si>
    <t xml:space="preserve">08/09/2002 18:44</t>
  </si>
  <si>
    <t xml:space="preserve">M 6.5 - 114 km SSE of San Jose Village, Northern Mariana Islands</t>
  </si>
  <si>
    <t xml:space="preserve">14/08/2002 13:57</t>
  </si>
  <si>
    <t xml:space="preserve">San Jose Village, Northern Mariana Islands</t>
  </si>
  <si>
    <t xml:space="preserve">M 6.5 - 14 km SE of Punta de Burica, Panama</t>
  </si>
  <si>
    <t xml:space="preserve">31/07/2002 00:16</t>
  </si>
  <si>
    <t xml:space="preserve">M 6.5 - 59 km SSW of Abhar, Iran</t>
  </si>
  <si>
    <t xml:space="preserve">22/06/2002 02:58</t>
  </si>
  <si>
    <t xml:space="preserve">Abhar, Iran</t>
  </si>
  <si>
    <t xml:space="preserve">M 6.6 - 20 km SW of Monte Patria, Chile</t>
  </si>
  <si>
    <t xml:space="preserve">18/06/2002 13:56</t>
  </si>
  <si>
    <t xml:space="preserve">Monte Patria, Chile</t>
  </si>
  <si>
    <t xml:space="preserve">M 6.7 - 190 km NW of Sola, Vanuatu</t>
  </si>
  <si>
    <t xml:space="preserve">17/06/2002 21:26</t>
  </si>
  <si>
    <t xml:space="preserve">M 7.1 - 20 km SSW of Merizo Village, Guam</t>
  </si>
  <si>
    <t xml:space="preserve">26/04/2002 16:06</t>
  </si>
  <si>
    <t xml:space="preserve">Merizo Village, Guam</t>
  </si>
  <si>
    <t xml:space="preserve">M 6.7 - 31 km SW of Copiapó, Chile</t>
  </si>
  <si>
    <t xml:space="preserve">18/04/2002 16:08</t>
  </si>
  <si>
    <t xml:space="preserve">M 6.8 - 27 km SSW of Nuxco, Mexico</t>
  </si>
  <si>
    <t xml:space="preserve">18/04/2002 05:02</t>
  </si>
  <si>
    <t xml:space="preserve">Nuxco, Mexico</t>
  </si>
  <si>
    <t xml:space="preserve">M 7.1 - 67 km ENE of Hualien City, Taiwan</t>
  </si>
  <si>
    <t xml:space="preserve">31/03/2002 06:52</t>
  </si>
  <si>
    <t xml:space="preserve">M 6.5 - 107 km NE of Calama, Chile</t>
  </si>
  <si>
    <t xml:space="preserve">28/03/2002 04:56</t>
  </si>
  <si>
    <t xml:space="preserve">Calama, Chile</t>
  </si>
  <si>
    <t xml:space="preserve">M 7.5 - Mindanao, Philippines</t>
  </si>
  <si>
    <t xml:space="preserve">05/03/2002 21:16</t>
  </si>
  <si>
    <t xml:space="preserve">Mindanao, Philippines</t>
  </si>
  <si>
    <t xml:space="preserve">M 7.4 - 51 km SW of Jurm, Afghanistan</t>
  </si>
  <si>
    <t xml:space="preserve">03/03/2002 12:08</t>
  </si>
  <si>
    <t xml:space="preserve">M 6.6 - 125 km E of Kimbe, Papua New Guinea</t>
  </si>
  <si>
    <t xml:space="preserve">05/02/2002 13:27</t>
  </si>
  <si>
    <t xml:space="preserve">M 6.5 - 5 km NE of Sultanda??, Turkey</t>
  </si>
  <si>
    <t xml:space="preserve">03/02/2002 07:11</t>
  </si>
  <si>
    <t xml:space="preserve">Sultanda??, Turkey</t>
  </si>
  <si>
    <t xml:space="preserve">M 6.7 - 11 km SE of Aitape, Papua New Guinea</t>
  </si>
  <si>
    <t xml:space="preserve">10/01/2002 11:14</t>
  </si>
  <si>
    <t xml:space="preserve">M 6.6 - 33 km WNW of Port-Vila, Vanuatu</t>
  </si>
  <si>
    <t xml:space="preserve">03/01/2002 10:17</t>
  </si>
  <si>
    <t xml:space="preserve">M 7.2 - 50 km WNW of Port-Vila, Vanuatu</t>
  </si>
  <si>
    <t xml:space="preserve">02/01/2002 17:22</t>
  </si>
  <si>
    <t xml:space="preserve">M 6.8 - 22 km WNW of Malango, Solomon Islands</t>
  </si>
  <si>
    <t xml:space="preserve">23/12/2001 22:52</t>
  </si>
  <si>
    <t xml:space="preserve">M 6.8 - 62 km SSW of Yonakuni, Japan</t>
  </si>
  <si>
    <t xml:space="preserve">18/12/2001 04:02</t>
  </si>
  <si>
    <t xml:space="preserve">M 6.5 - 3 km NW of Hanamaki, Japan</t>
  </si>
  <si>
    <t xml:space="preserve">02/12/2001 13:01</t>
  </si>
  <si>
    <t xml:space="preserve">Hanamaki, Japan</t>
  </si>
  <si>
    <t xml:space="preserve">M 7.8 - Southern Qinghai, China</t>
  </si>
  <si>
    <t xml:space="preserve">14/11/2001 09:26</t>
  </si>
  <si>
    <t xml:space="preserve">M 7.0 - 40 km S of Kimbe, Papua New Guinea</t>
  </si>
  <si>
    <t xml:space="preserve">31/10/2001 09:10</t>
  </si>
  <si>
    <t xml:space="preserve">M 7.5 - 155 km E of Kendari, Indonesia</t>
  </si>
  <si>
    <t xml:space="preserve">19/10/2001 03:28</t>
  </si>
  <si>
    <t xml:space="preserve">Kendari, Indonesia</t>
  </si>
  <si>
    <t xml:space="preserve">M 7.0 - 69 km SSE of Inarajan Village, Guam</t>
  </si>
  <si>
    <t xml:space="preserve">12/10/2001 15:02</t>
  </si>
  <si>
    <t xml:space="preserve">Inarajan Village, Guam</t>
  </si>
  <si>
    <t xml:space="preserve">M 6.5 - 108 km WNW of Manokwari, Indonesia</t>
  </si>
  <si>
    <t xml:space="preserve">11/09/2001 14:56</t>
  </si>
  <si>
    <t xml:space="preserve">M 6.6 - 74 km S of Kokhanok, Alaska</t>
  </si>
  <si>
    <t xml:space="preserve">28/07/2001 07:32</t>
  </si>
  <si>
    <t xml:space="preserve">Kokhanok, Alaska</t>
  </si>
  <si>
    <t xml:space="preserve">M 6.5 - 32 km WNW of Skýros, Greece</t>
  </si>
  <si>
    <t xml:space="preserve">26/07/2001 00:21</t>
  </si>
  <si>
    <t xml:space="preserve">Skýros, Greece</t>
  </si>
  <si>
    <t xml:space="preserve">M 7.6 - 51 km SW of Punta de Bombón, Peru</t>
  </si>
  <si>
    <t xml:space="preserve">07/07/2001 09:38</t>
  </si>
  <si>
    <t xml:space="preserve">Punta de Bombón, Peru</t>
  </si>
  <si>
    <t xml:space="preserve">M 6.6 - 31 km S of Achanizo, Peru</t>
  </si>
  <si>
    <t xml:space="preserve">05/07/2001 13:53</t>
  </si>
  <si>
    <t xml:space="preserve">Achanizo, Peru</t>
  </si>
  <si>
    <t xml:space="preserve">M 6.7 - 34 km WSW of Pacocha, Peru</t>
  </si>
  <si>
    <t xml:space="preserve">26/06/2001 04:18</t>
  </si>
  <si>
    <t xml:space="preserve">Pacocha, Peru</t>
  </si>
  <si>
    <t xml:space="preserve">M 8.4 - 6 km SSW of Atico, Peru</t>
  </si>
  <si>
    <t xml:space="preserve">23/06/2001 20:33</t>
  </si>
  <si>
    <t xml:space="preserve">Atico, Peru</t>
  </si>
  <si>
    <t xml:space="preserve">M 6.7 - 128 km SSE of Panguna, Papua New Guinea</t>
  </si>
  <si>
    <t xml:space="preserve">19/04/2001 21:43</t>
  </si>
  <si>
    <t xml:space="preserve">M 6.8 - 16 km SSW of Kure, Japan</t>
  </si>
  <si>
    <t xml:space="preserve">24/03/2001 06:27</t>
  </si>
  <si>
    <t xml:space="preserve">Kure, Japan</t>
  </si>
  <si>
    <t xml:space="preserve">M 6.5 - 41 km SSW of Ambon, Indonesia</t>
  </si>
  <si>
    <t xml:space="preserve">19/03/2001 05:52</t>
  </si>
  <si>
    <t xml:space="preserve">M 6.8 - 7 km SSE of Longbranch, Washington</t>
  </si>
  <si>
    <t xml:space="preserve">28/02/2001 18:54</t>
  </si>
  <si>
    <t xml:space="preserve">uw</t>
  </si>
  <si>
    <t xml:space="preserve">Longbranch, Washington</t>
  </si>
  <si>
    <t xml:space="preserve">M 7.1 - 137 km WNW of Ternate, Indonesia</t>
  </si>
  <si>
    <t xml:space="preserve">24/02/2001 07:23</t>
  </si>
  <si>
    <t xml:space="preserve">M 7.4 - 102 km SSE of Bengkulu, Indonesia</t>
  </si>
  <si>
    <t xml:space="preserve">13/02/2001 19:28</t>
  </si>
  <si>
    <t xml:space="preserve">M 6.6 - 5 km S of Cojutepeque, El Salvador</t>
  </si>
  <si>
    <t xml:space="preserve">13/02/2001 14:22</t>
  </si>
  <si>
    <t xml:space="preserve">Cojutepeque, El Salvador</t>
  </si>
  <si>
    <t xml:space="preserve">El Salvador</t>
  </si>
  <si>
    <t xml:space="preserve">M 7.7 - 17 km NW of Bhach?u, India</t>
  </si>
  <si>
    <t xml:space="preserve">26/01/2001 03:16</t>
  </si>
  <si>
    <t xml:space="preserve">Bhach?u, India</t>
  </si>
  <si>
    <t xml:space="preserve">M 6.9 - 59 km WSW of Bengkulu, Indonesia</t>
  </si>
  <si>
    <t xml:space="preserve">16/01/2001 13:25</t>
  </si>
  <si>
    <t xml:space="preserve">M 7.7 - 28 km SSW of Puerto El Triunfo, El Salvador</t>
  </si>
  <si>
    <t xml:space="preserve">13/01/2001 17:33</t>
  </si>
  <si>
    <t xml:space="preserve">M 6.9 - 47 km S of Old Harbor, Alaska</t>
  </si>
  <si>
    <t xml:space="preserve">10/01/2001 16:02</t>
  </si>
  <si>
    <t xml:space="preserve">Old Harbor, Alaska</t>
  </si>
  <si>
    <t xml:space="preserve">M 7.1 - 16 km NE of Port-Olry, Vanuatu</t>
  </si>
  <si>
    <t xml:space="preserve">09/01/2001 16:49</t>
  </si>
  <si>
    <t xml:space="preserve">M 6.8 - Mindanao, Philippines</t>
  </si>
  <si>
    <t xml:space="preserve">01/01/2001 08:54</t>
  </si>
  <si>
    <t xml:space="preserve">M 7.5 - 21 km SE of Lukatan, Philippines</t>
  </si>
  <si>
    <t xml:space="preserve">01/01/2001 06:57</t>
  </si>
  <si>
    <t xml:space="preserve">Lukatan, Philippines</t>
  </si>
  <si>
    <t xml:space="preserve">M 6.5 - 52 km ENE of Kokopo, Papua New Guinea</t>
  </si>
  <si>
    <t xml:space="preserve">06/12/2000 22:57</t>
  </si>
  <si>
    <t xml:space="preserve">M 7.0 - 37 km E of Balkanabat, Turkmenistan</t>
  </si>
  <si>
    <t xml:space="preserve">06/12/2000 17:11</t>
  </si>
  <si>
    <t xml:space="preserve">Balkanabat, Turkmenistan</t>
  </si>
  <si>
    <t xml:space="preserve">Turkmenistan</t>
  </si>
  <si>
    <t xml:space="preserve">M 6.5 - 23 km SSE of Badamdar, Azerbaijan</t>
  </si>
  <si>
    <t xml:space="preserve">25/11/2000 18:10</t>
  </si>
  <si>
    <t xml:space="preserve">Badamdar, Azerbaijan</t>
  </si>
  <si>
    <t xml:space="preserve">Azerbaijan</t>
  </si>
  <si>
    <t xml:space="preserve">M 6.8 - 15 km SSE of Baku, Azerbaijan</t>
  </si>
  <si>
    <t xml:space="preserve">25/11/2000 18:09</t>
  </si>
  <si>
    <t xml:space="preserve">Baku, Azerbaijan</t>
  </si>
  <si>
    <t xml:space="preserve">M 6.8 - 112 km SSW of Kokopo, Papua New Guinea</t>
  </si>
  <si>
    <t xml:space="preserve">18/11/2000 06:54</t>
  </si>
  <si>
    <t xml:space="preserve">M 6.6 - 131 km SE of Kokopo, Papua New Guinea</t>
  </si>
  <si>
    <t xml:space="preserve">18/11/2000 02:05</t>
  </si>
  <si>
    <t xml:space="preserve">M 7.8 - 138 km SSW of Kokopo, Papua New Guinea</t>
  </si>
  <si>
    <t xml:space="preserve">17/11/2000 21:01</t>
  </si>
  <si>
    <t xml:space="preserve">M 6.5 - 118 km ESE of Kokopo, Papua New Guinea</t>
  </si>
  <si>
    <t xml:space="preserve">16/11/2000 07:45</t>
  </si>
  <si>
    <t xml:space="preserve">M 7.8 - 135 km SE of Kokopo, Papua New Guinea</t>
  </si>
  <si>
    <t xml:space="preserve">16/11/2000 07:42</t>
  </si>
  <si>
    <t xml:space="preserve">M 8.0 - 24 km N of Rabaul, Papua New Guinea</t>
  </si>
  <si>
    <t xml:space="preserve">16/11/2000 04:54</t>
  </si>
  <si>
    <t xml:space="preserve">M 6.5 - 10 km SW of Juradó, Colombia</t>
  </si>
  <si>
    <t xml:space="preserve">08/11/2000 06:59</t>
  </si>
  <si>
    <t xml:space="preserve">Juradó, Colombia</t>
  </si>
  <si>
    <t xml:space="preserve">M 7.0 - 191 km ESE of Kokopo, Papua New Guinea</t>
  </si>
  <si>
    <t xml:space="preserve">29/10/2000 08:37</t>
  </si>
  <si>
    <t xml:space="preserve">M 6.8 - 29 km SW of Labuan, Indonesia</t>
  </si>
  <si>
    <t xml:space="preserve">25/10/2000 09:32</t>
  </si>
  <si>
    <t xml:space="preserve">M 6.7 - 8 km ESE of Matsue, Japan</t>
  </si>
  <si>
    <t xml:space="preserve">06/10/2000 04:30</t>
  </si>
  <si>
    <t xml:space="preserve">Matsue, Japan</t>
  </si>
  <si>
    <t xml:space="preserve">M 7.0 - 29 km WNW of Luganville, Vanuatu</t>
  </si>
  <si>
    <t xml:space="preserve">04/10/2000 16:58</t>
  </si>
  <si>
    <t xml:space="preserve">M 6.5 - 15 km W of Nkove, Tanzania</t>
  </si>
  <si>
    <t xml:space="preserve">02/10/2000 02:25</t>
  </si>
  <si>
    <t xml:space="preserve">Nkove, Tanzania</t>
  </si>
  <si>
    <t xml:space="preserve">M 6.8 - 98 km WSW of Ambon, Indonesia</t>
  </si>
  <si>
    <t xml:space="preserve">28/08/2000 15:05</t>
  </si>
  <si>
    <t xml:space="preserve">M 6.5 - 24 km NNW of El Habillal, Mexico</t>
  </si>
  <si>
    <t xml:space="preserve">09/08/2000 11:41</t>
  </si>
  <si>
    <t xml:space="preserve">M 6.8 - 35 km SSE of Uglegorsk, Russia</t>
  </si>
  <si>
    <t xml:space="preserve">04/08/2000 21:13</t>
  </si>
  <si>
    <t xml:space="preserve">Uglegorsk, Russia</t>
  </si>
  <si>
    <t xml:space="preserve">M 6.6 - 161 km SSE of Lata, Solomon Islands</t>
  </si>
  <si>
    <t xml:space="preserve">03/08/2000 01:09</t>
  </si>
  <si>
    <t xml:space="preserve">M 6.5 - 94 km SSE of Shimoda, Japan</t>
  </si>
  <si>
    <t xml:space="preserve">30/07/2000 12:25</t>
  </si>
  <si>
    <t xml:space="preserve">Shimoda, Japan</t>
  </si>
  <si>
    <t xml:space="preserve">M 6.6 - 227 km SE of Kandrian, Papua New Guinea</t>
  </si>
  <si>
    <t xml:space="preserve">16/07/2000 03:57</t>
  </si>
  <si>
    <t xml:space="preserve">M 6.5 - 24 km SSW of Larsen Bay, Alaska</t>
  </si>
  <si>
    <t xml:space="preserve">11/07/2000 01:32</t>
  </si>
  <si>
    <t xml:space="preserve">Larsen Bay, Alaska</t>
  </si>
  <si>
    <t xml:space="preserve">M 6.5 - 12 km ENE of Selfoss, Iceland</t>
  </si>
  <si>
    <t xml:space="preserve">21/06/2000 00:51</t>
  </si>
  <si>
    <t xml:space="preserve">Selfoss, Iceland</t>
  </si>
  <si>
    <t xml:space="preserve">Iceland</t>
  </si>
  <si>
    <t xml:space="preserve">M 7.9 - South Indian Ocean</t>
  </si>
  <si>
    <t xml:space="preserve">18/06/2000 14:44</t>
  </si>
  <si>
    <t xml:space="preserve">South Indian Ocean</t>
  </si>
  <si>
    <t xml:space="preserve">M 6.5 - 25 km E of Selfoss, Iceland</t>
  </si>
  <si>
    <t xml:space="preserve">17/06/2000 15:40</t>
  </si>
  <si>
    <t xml:space="preserve">M 6.7 - 98 km SSW of Bengkulu, Indonesia</t>
  </si>
  <si>
    <t xml:space="preserve">07/06/2000 23:45</t>
  </si>
  <si>
    <t xml:space="preserve">M 6.7 - 95 km S of Bengkulu, Indonesia</t>
  </si>
  <si>
    <t xml:space="preserve">04/06/2000 16:39</t>
  </si>
  <si>
    <t xml:space="preserve">M 7.9 - 103 km S of Bengkulu, Indonesia</t>
  </si>
  <si>
    <t xml:space="preserve">04/06/2000 16:28</t>
  </si>
  <si>
    <t xml:space="preserve">M 7.2 - 75 km N of San Antonio de los Cobres, Argentina</t>
  </si>
  <si>
    <t xml:space="preserve">12/05/2000 18:43</t>
  </si>
  <si>
    <t xml:space="preserve">M 7.6 - 89 km E of Luwuk, Indonesia</t>
  </si>
  <si>
    <t xml:space="preserve">04/05/2000 04:21</t>
  </si>
  <si>
    <t xml:space="preserve">M 6.6 - 62 km SSW of Ialibu, Papua New Guinea</t>
  </si>
  <si>
    <t xml:space="preserve">03/03/2000 22:22</t>
  </si>
  <si>
    <t xml:space="preserve">Ialibu, Papua New Guinea</t>
  </si>
  <si>
    <t xml:space="preserve">M 6.6 - 87 km ESE of Kimbe, Papua New Guinea</t>
  </si>
  <si>
    <t xml:space="preserve">06/02/2000 11:33</t>
  </si>
  <si>
    <t xml:space="preserve">M 6.8 - 84 km S of Shikotan, Russia</t>
  </si>
  <si>
    <t xml:space="preserve">28/01/2000 14:21</t>
  </si>
  <si>
    <t xml:space="preserve">Shikotan, Russia</t>
  </si>
  <si>
    <t xml:space="preserve">M 7.2 - 117 km SSW of Hihifo, Tonga</t>
  </si>
  <si>
    <t xml:space="preserve">08/01/2000 16:47</t>
  </si>
  <si>
    <t xml:space="preserve">M 6.9 - 50 km WSW of Lata, Solomon Islands</t>
  </si>
  <si>
    <t xml:space="preserve">29/12/1999 13:29</t>
  </si>
  <si>
    <t xml:space="preserve">M 6.5 - 59 km SSW of Labuan, Indonesia</t>
  </si>
  <si>
    <t xml:space="preserve">21/12/1999 14:14</t>
  </si>
  <si>
    <t xml:space="preserve">M 7.3 - 14 km WNW of Bolitoc, Philippines</t>
  </si>
  <si>
    <t xml:space="preserve">11/12/1999 18:03</t>
  </si>
  <si>
    <t xml:space="preserve">Bolitoc, Philippines</t>
  </si>
  <si>
    <t xml:space="preserve">M 7.0 - 26 km SSE of Karluk, Alaska</t>
  </si>
  <si>
    <t xml:space="preserve">06/12/1999 23:12</t>
  </si>
  <si>
    <t xml:space="preserve">Karluk, Alaska</t>
  </si>
  <si>
    <t xml:space="preserve">M 6.6 - 127 km ESE of Arica, Chile</t>
  </si>
  <si>
    <t xml:space="preserve">30/11/1999 04:01</t>
  </si>
  <si>
    <t xml:space="preserve">Arica, Chile</t>
  </si>
  <si>
    <t xml:space="preserve">M 7.5 - 92 km ESE of Lakatoro, Vanuatu</t>
  </si>
  <si>
    <t xml:space="preserve">26/11/1999 13:21</t>
  </si>
  <si>
    <t xml:space="preserve">M 7.0 - 88 km W of Kandrian, Papua New Guinea</t>
  </si>
  <si>
    <t xml:space="preserve">19/11/1999 13:56</t>
  </si>
  <si>
    <t xml:space="preserve">M 6.9 - 84 km WNW of Kandrian, Papua New Guinea</t>
  </si>
  <si>
    <t xml:space="preserve">17/11/1999 03:27</t>
  </si>
  <si>
    <t xml:space="preserve">M 7.2 - 8 km S of Düzce, Turkey</t>
  </si>
  <si>
    <t xml:space="preserve">12/11/1999 16:57</t>
  </si>
  <si>
    <t xml:space="preserve">Düzce, Turkey</t>
  </si>
  <si>
    <t xml:space="preserve">M 6.5 - 31 km SW of Ashk?sham, Afghanistan</t>
  </si>
  <si>
    <t xml:space="preserve">08/11/1999 16:45</t>
  </si>
  <si>
    <t xml:space="preserve">M 7.1 - Hector Mine, CA Earthquake</t>
  </si>
  <si>
    <t xml:space="preserve">16/10/1999 09:46</t>
  </si>
  <si>
    <t xml:space="preserve">Hector Mine, CA Earthquake</t>
  </si>
  <si>
    <t xml:space="preserve">M 7.5 - 15 km W of San Baltazar Loxicha, Mexico</t>
  </si>
  <si>
    <t xml:space="preserve">30/09/1999 16:31</t>
  </si>
  <si>
    <t xml:space="preserve">San Baltazar Loxicha, Mexico</t>
  </si>
  <si>
    <t xml:space="preserve">M 6.5 - 31 km SE of Puli, Taiwan</t>
  </si>
  <si>
    <t xml:space="preserve">25/09/1999 23:52</t>
  </si>
  <si>
    <t xml:space="preserve">Puli, Taiwan</t>
  </si>
  <si>
    <t xml:space="preserve">M 7.7 - 21 km S of Puli, Taiwan</t>
  </si>
  <si>
    <t xml:space="preserve">20/09/1999 17:47</t>
  </si>
  <si>
    <t xml:space="preserve">M 6.6 - 66 km E of Lakatoro, Vanuatu</t>
  </si>
  <si>
    <t xml:space="preserve">22/08/1999 12:40</t>
  </si>
  <si>
    <t xml:space="preserve">M 6.9 - 42 km S of Quepos, Costa Rica</t>
  </si>
  <si>
    <t xml:space="preserve">20/08/1999 10:02</t>
  </si>
  <si>
    <t xml:space="preserve">Quepos, Costa Rica</t>
  </si>
  <si>
    <t xml:space="preserve">M 7.6 - 4 km ESE of Derince, Turkey</t>
  </si>
  <si>
    <t xml:space="preserve">17/08/1999 00:01</t>
  </si>
  <si>
    <t xml:space="preserve">Derince, Turkey</t>
  </si>
  <si>
    <t xml:space="preserve">M 6.7 - 16 km N of Potrerillos, Honduras</t>
  </si>
  <si>
    <t xml:space="preserve">11/07/1999 14:14</t>
  </si>
  <si>
    <t xml:space="preserve">Potrerillos, Honduras</t>
  </si>
  <si>
    <t xml:space="preserve">M 7.0 - 1 km SE of Texcala, Mexico</t>
  </si>
  <si>
    <t xml:space="preserve">15/06/1999 20:42</t>
  </si>
  <si>
    <t xml:space="preserve">Texcala, Mexico</t>
  </si>
  <si>
    <t xml:space="preserve">M 6.6 - 113 km SE of Kokopo, Papua New Guinea</t>
  </si>
  <si>
    <t xml:space="preserve">17/05/1999 10:07</t>
  </si>
  <si>
    <t xml:space="preserve">M 7.1 - 51 km SSE of Kokopo, Papua New Guinea</t>
  </si>
  <si>
    <t xml:space="preserve">16/05/1999 00:51</t>
  </si>
  <si>
    <t xml:space="preserve">M 7.1 - 92 km ENE of Kimbe, Papua New Guinea</t>
  </si>
  <si>
    <t xml:space="preserve">10/05/1999 20:33</t>
  </si>
  <si>
    <t xml:space="preserve">M 6.8 - 132 km WSW of Haveluloto, Tonga</t>
  </si>
  <si>
    <t xml:space="preserve">13/04/1999 10:38</t>
  </si>
  <si>
    <t xml:space="preserve">M 7.4 - 63 km W of Kimbe, Papua New Guinea</t>
  </si>
  <si>
    <t xml:space="preserve">05/04/1999 11:08</t>
  </si>
  <si>
    <t xml:space="preserve">M 6.8 - 6 km SE of Camaná, Peru</t>
  </si>
  <si>
    <t xml:space="preserve">03/04/1999 06:17</t>
  </si>
  <si>
    <t xml:space="preserve">Camaná, Peru</t>
  </si>
  <si>
    <t xml:space="preserve">M 6.6 - 9 km NNW of P?palkoti, India</t>
  </si>
  <si>
    <t xml:space="preserve">28/03/1999 19:05</t>
  </si>
  <si>
    <t xml:space="preserve">P?palkoti, India</t>
  </si>
  <si>
    <t xml:space="preserve">M 6.9 - 78 km WSW of Adak, Alaska</t>
  </si>
  <si>
    <t xml:space="preserve">20/03/1999 10:47</t>
  </si>
  <si>
    <t xml:space="preserve">M 6.9 - 123 km SE of Vilyuchinsk, Russia</t>
  </si>
  <si>
    <t xml:space="preserve">08/03/1999 12:25</t>
  </si>
  <si>
    <t xml:space="preserve">Vilyuchinsk, Russia</t>
  </si>
  <si>
    <t xml:space="preserve">M 7.1 - 69 km S of Tabiauan, Philippines</t>
  </si>
  <si>
    <t xml:space="preserve">04/03/1999 08:52</t>
  </si>
  <si>
    <t xml:space="preserve">M 6.6 - 110 km SSE of K?h Sef?d, Iran</t>
  </si>
  <si>
    <t xml:space="preserve">04/03/1999 05:38</t>
  </si>
  <si>
    <t xml:space="preserve">K?h Sef?d, Iran</t>
  </si>
  <si>
    <t xml:space="preserve">M 7.3 - 146 km NW of Sola, Vanuatu</t>
  </si>
  <si>
    <t xml:space="preserve">06/02/1999 21:47</t>
  </si>
  <si>
    <t xml:space="preserve">M 6.6 - 18 km WSW of Nikolski, Alaska</t>
  </si>
  <si>
    <t xml:space="preserve">28/01/1999 08:10</t>
  </si>
  <si>
    <t xml:space="preserve">M 7.0 - 110 km ESE of Kokopo, Papua New Guinea</t>
  </si>
  <si>
    <t xml:space="preserve">19/01/1999 03:35</t>
  </si>
  <si>
    <t xml:space="preserve">M 6.8 - 131 km WSW of Haveluloto, Tonga</t>
  </si>
  <si>
    <t xml:space="preserve">27/12/1998 00:38</t>
  </si>
  <si>
    <t xml:space="preserve">M 7.7 - 264 km ESE of Luwuk, Indonesia</t>
  </si>
  <si>
    <t xml:space="preserve">29/11/1998 14:10</t>
  </si>
  <si>
    <t xml:space="preserve">M 7.0 - 278 km NE of Lospalos, Timor Leste</t>
  </si>
  <si>
    <t xml:space="preserve">09/11/1998 05:38</t>
  </si>
  <si>
    <t xml:space="preserve">M 6.7 - 282 km NE of Lospalos, Timor Leste</t>
  </si>
  <si>
    <t xml:space="preserve">09/11/1998 05:30</t>
  </si>
  <si>
    <t xml:space="preserve">M 6.6 - 8 km WSW of Sumberpucung, Indonesia</t>
  </si>
  <si>
    <t xml:space="preserve">28/09/1998 13:34</t>
  </si>
  <si>
    <t xml:space="preserve">Sumberpucung, Indonesia</t>
  </si>
  <si>
    <t xml:space="preserve">M 6.6 - 66 km NNW of Coquimbo, Chile</t>
  </si>
  <si>
    <t xml:space="preserve">03/09/1998 17:37</t>
  </si>
  <si>
    <t xml:space="preserve">M 6.8 - 123 km SSE of Pondaguitan, Philippines</t>
  </si>
  <si>
    <t xml:space="preserve">02/09/1998 08:37</t>
  </si>
  <si>
    <t xml:space="preserve">M 7.2 - 3 km E of Bahía de Caráquez, Ecuador</t>
  </si>
  <si>
    <t xml:space="preserve">04/08/1998 18:59</t>
  </si>
  <si>
    <t xml:space="preserve">Bahía de Caráquez, Ecuador</t>
  </si>
  <si>
    <t xml:space="preserve">M 6.7 - 192 km W of Abepura, Indonesia</t>
  </si>
  <si>
    <t xml:space="preserve">29/07/1998 18:00</t>
  </si>
  <si>
    <t xml:space="preserve">M 7.0 - 50 km WNW of Aitape, Papua New Guinea</t>
  </si>
  <si>
    <t xml:space="preserve">17/07/1998 08:49</t>
  </si>
  <si>
    <t xml:space="preserve">M 7.0 - 52 km SE of Lata, Solomon Islands</t>
  </si>
  <si>
    <t xml:space="preserve">16/07/1998 11:56</t>
  </si>
  <si>
    <t xml:space="preserve">M 6.6 - 24 km E of Rust?q, Afghanistan</t>
  </si>
  <si>
    <t xml:space="preserve">30/05/1998 06:22</t>
  </si>
  <si>
    <t xml:space="preserve">Rust?q, Afghanistan</t>
  </si>
  <si>
    <t xml:space="preserve">M 6.6 - 25 km NNW of Mizque, Bolivia</t>
  </si>
  <si>
    <t xml:space="preserve">22/05/1998 04:48</t>
  </si>
  <si>
    <t xml:space="preserve">Mizque, Bolivia</t>
  </si>
  <si>
    <t xml:space="preserve">M 6.7 - 127 km NNW of Palu, Indonesia</t>
  </si>
  <si>
    <t xml:space="preserve">21/05/1998 05:34</t>
  </si>
  <si>
    <t xml:space="preserve">M 6.6 - 108 km SW of Kokopo, Papua New Guinea</t>
  </si>
  <si>
    <t xml:space="preserve">13/05/1998 23:02</t>
  </si>
  <si>
    <t xml:space="preserve">M 7.5 - 254 km SSE of Ishigaki, Japan</t>
  </si>
  <si>
    <t xml:space="preserve">03/05/1998 23:30</t>
  </si>
  <si>
    <t xml:space="preserve">Ishigaki, Japan</t>
  </si>
  <si>
    <t xml:space="preserve">M 6.6 - 43 km NE of San Fernando, Peru</t>
  </si>
  <si>
    <t xml:space="preserve">03/04/1998 22:01</t>
  </si>
  <si>
    <t xml:space="preserve">San Fernando, Peru</t>
  </si>
  <si>
    <t xml:space="preserve">M 7.0 - 95 km W of Pariaman, Indonesia</t>
  </si>
  <si>
    <t xml:space="preserve">01/04/1998 17:56</t>
  </si>
  <si>
    <t xml:space="preserve">M 6.6 - 52 km ESE of Kerman, Iran</t>
  </si>
  <si>
    <t xml:space="preserve">14/03/1998 19:40</t>
  </si>
  <si>
    <t xml:space="preserve">Kerman, Iran</t>
  </si>
  <si>
    <t xml:space="preserve">M 7.1 - 34 km SSE of Antofagasta, Chile</t>
  </si>
  <si>
    <t xml:space="preserve">30/01/1998 12:16</t>
  </si>
  <si>
    <t xml:space="preserve">M 6.7 - 149 km ENE of Labasa, Fiji</t>
  </si>
  <si>
    <t xml:space="preserve">12/01/1998 16:36</t>
  </si>
  <si>
    <t xml:space="preserve">Labasa, Fiji</t>
  </si>
  <si>
    <t xml:space="preserve">M 6.6 - 47 km SSW of Ovalle, Chile</t>
  </si>
  <si>
    <t xml:space="preserve">12/01/1998 10:14</t>
  </si>
  <si>
    <t xml:space="preserve">M 6.6 - 10 km SSW of San José El Ídolo, Guatemala</t>
  </si>
  <si>
    <t xml:space="preserve">10/01/1998 08:20</t>
  </si>
  <si>
    <t xml:space="preserve">San José El Ídolo, Guatemala</t>
  </si>
  <si>
    <t xml:space="preserve">M 7.2 - 117 km N of Finschhafen, Papua New Guinea</t>
  </si>
  <si>
    <t xml:space="preserve">22/12/1997 02:05</t>
  </si>
  <si>
    <t xml:space="preserve">M 7.8 - 156 km S of Ust’-Kamchatsk Staryy, Russia</t>
  </si>
  <si>
    <t xml:space="preserve">05/12/1997 11:26</t>
  </si>
  <si>
    <t xml:space="preserve">M 7.0 - 97 km NW of Gorontalo, Indonesia</t>
  </si>
  <si>
    <t xml:space="preserve">25/11/1997 12:14</t>
  </si>
  <si>
    <t xml:space="preserve">M 6.6 - 22 km SW of Lithakiá, Greece</t>
  </si>
  <si>
    <t xml:space="preserve">18/11/1997 13:07</t>
  </si>
  <si>
    <t xml:space="preserve">M 7.0 - 34 km ESE of Port-Olry, Vanuatu</t>
  </si>
  <si>
    <t xml:space="preserve">15/11/1997 18:59</t>
  </si>
  <si>
    <t xml:space="preserve">M 6.5 - 13 km NNE of San Sebastián, El Salvador</t>
  </si>
  <si>
    <t xml:space="preserve">09/11/1997 22:56</t>
  </si>
  <si>
    <t xml:space="preserve">San Sebastián, El Salvador</t>
  </si>
  <si>
    <t xml:space="preserve">M 7.5 - western Xizang</t>
  </si>
  <si>
    <t xml:space="preserve">08/11/1997 10:02</t>
  </si>
  <si>
    <t xml:space="preserve">western Xizang</t>
  </si>
  <si>
    <t xml:space="preserve">M 7.2 - 51 km N of Barranca, Peru</t>
  </si>
  <si>
    <t xml:space="preserve">28/10/1997 06:15</t>
  </si>
  <si>
    <t xml:space="preserve">M 7.1 - 36 km SW of Monte Patria, Chile</t>
  </si>
  <si>
    <t xml:space="preserve">15/10/1997 01:03</t>
  </si>
  <si>
    <t xml:space="preserve">M 7.8 - 192 km WSW of Haveluloto, Tonga</t>
  </si>
  <si>
    <t xml:space="preserve">14/10/1997 09:53</t>
  </si>
  <si>
    <t xml:space="preserve">M 6.5 - 18 km E of Talisay, Philippines</t>
  </si>
  <si>
    <t xml:space="preserve">06/10/1997 12:30</t>
  </si>
  <si>
    <t xml:space="preserve">M 6.8 - 24 km SW of Roncesvalles, Colombia</t>
  </si>
  <si>
    <t xml:space="preserve">02/09/1997 12:13</t>
  </si>
  <si>
    <t xml:space="preserve">Roncesvalles, Colombia</t>
  </si>
  <si>
    <t xml:space="preserve">M 6.6 - 64 km NNE of Angoram, Papua New Guinea</t>
  </si>
  <si>
    <t xml:space="preserve">29/08/1997 08:14</t>
  </si>
  <si>
    <t xml:space="preserve">M 6.9 - 4 km ENE of El Ciruelo, Mexico</t>
  </si>
  <si>
    <t xml:space="preserve">19/07/1997 14:22</t>
  </si>
  <si>
    <t xml:space="preserve">El Ciruelo, Mexico</t>
  </si>
  <si>
    <t xml:space="preserve">M 7.0 - 26 km WSW of Carúpano, Venezuela</t>
  </si>
  <si>
    <t xml:space="preserve">09/07/1997 19:24</t>
  </si>
  <si>
    <t xml:space="preserve">M 6.8 - 52 km WSW of Coquimbo, Chile</t>
  </si>
  <si>
    <t xml:space="preserve">06/07/1997 09:54</t>
  </si>
  <si>
    <t xml:space="preserve">M 6.5 - 5 km ENE of Churumuco de Morelos, Mexico</t>
  </si>
  <si>
    <t xml:space="preserve">22/05/1997 07:50</t>
  </si>
  <si>
    <t xml:space="preserve">Churumuco de Morelos, Mexico</t>
  </si>
  <si>
    <t xml:space="preserve">M 6.8 - 99 km S of Isangel, Vanuatu</t>
  </si>
  <si>
    <t xml:space="preserve">21/05/1997 14:10</t>
  </si>
  <si>
    <t xml:space="preserve">M 6.5 - 51 km S of Jurm, Afghanistan</t>
  </si>
  <si>
    <t xml:space="preserve">13/05/1997 14:13</t>
  </si>
  <si>
    <t xml:space="preserve">M 7.3 - 58 km E of Q?’en, Iran</t>
  </si>
  <si>
    <t xml:space="preserve">10/05/1997 07:57</t>
  </si>
  <si>
    <t xml:space="preserve">Q?’en, Iran</t>
  </si>
  <si>
    <t xml:space="preserve">M 6.5 - 49 km N of Yigo Village, Guam</t>
  </si>
  <si>
    <t xml:space="preserve">23/04/1997 19:44</t>
  </si>
  <si>
    <t xml:space="preserve">Yigo Village, Guam</t>
  </si>
  <si>
    <t xml:space="preserve">M 6.7 - 18 km WSW of Scarborough, Trinidad and Tobago</t>
  </si>
  <si>
    <t xml:space="preserve">22/04/1997 09:31</t>
  </si>
  <si>
    <t xml:space="preserve">Scarborough, Trinidad and Tobago</t>
  </si>
  <si>
    <t xml:space="preserve">Trinidad and Tobago</t>
  </si>
  <si>
    <t xml:space="preserve">M 7.7 - 171 km NNW of Sola, Vanuatu</t>
  </si>
  <si>
    <t xml:space="preserve">21/04/1997 12:02</t>
  </si>
  <si>
    <t xml:space="preserve">M 6.5 - 49 km W of Finschhafen, Papua New Guinea</t>
  </si>
  <si>
    <t xml:space="preserve">05/04/1997 12:23</t>
  </si>
  <si>
    <t xml:space="preserve">M 6.9 - 121 km E of Kinablangan, Philippines</t>
  </si>
  <si>
    <t xml:space="preserve">11/03/1997 19:22</t>
  </si>
  <si>
    <t xml:space="preserve">Kinablangan, Philippines</t>
  </si>
  <si>
    <t xml:space="preserve">M 7.1 - 29 km ESE of Harnai, Pakistan</t>
  </si>
  <si>
    <t xml:space="preserve">27/02/1997 21:08</t>
  </si>
  <si>
    <t xml:space="preserve">Harnai, Pakistan</t>
  </si>
  <si>
    <t xml:space="preserve">M 6.5 - Turkmenistan-Iran border region</t>
  </si>
  <si>
    <t xml:space="preserve">04/02/1997 10:37</t>
  </si>
  <si>
    <t xml:space="preserve">Turkmenistan-Iran border region</t>
  </si>
  <si>
    <t xml:space="preserve">M 7.2 - 46 km WNW of El Habillal, Mexico</t>
  </si>
  <si>
    <t xml:space="preserve">11/01/1997 20:28</t>
  </si>
  <si>
    <t xml:space="preserve">M 6.5 - 131 km W of Iwanai, Japan</t>
  </si>
  <si>
    <t xml:space="preserve">22/12/1996 14:53</t>
  </si>
  <si>
    <t xml:space="preserve">Iwanai, Japan</t>
  </si>
  <si>
    <t xml:space="preserve">M 6.7 - 17 km SW of Miyazaki, Japan</t>
  </si>
  <si>
    <t xml:space="preserve">02/12/1996 22:17</t>
  </si>
  <si>
    <t xml:space="preserve">Miyazaki, Japan</t>
  </si>
  <si>
    <t xml:space="preserve">M 6.9 - 130 km ENE of Thang, India</t>
  </si>
  <si>
    <t xml:space="preserve">19/11/1996 10:44</t>
  </si>
  <si>
    <t xml:space="preserve">Thang, India</t>
  </si>
  <si>
    <t xml:space="preserve">M 7.7 - 60 km SW of Changuillo, Peru</t>
  </si>
  <si>
    <t xml:space="preserve">12/11/1996 16:59</t>
  </si>
  <si>
    <t xml:space="preserve">Changuillo, Peru</t>
  </si>
  <si>
    <t xml:space="preserve">M 6.7 - 5 km SE of Miyazaki, Japan</t>
  </si>
  <si>
    <t xml:space="preserve">19/10/1996 14:44</t>
  </si>
  <si>
    <t xml:space="preserve">M 6.6 - 20 km SSE of Nishinoomote, Japan</t>
  </si>
  <si>
    <t xml:space="preserve">18/10/1996 10:50</t>
  </si>
  <si>
    <t xml:space="preserve">Nishinoomote, Japan</t>
  </si>
  <si>
    <t xml:space="preserve">M 6.8 - 90 km S of Panguna, Papua New Guinea</t>
  </si>
  <si>
    <t xml:space="preserve">14/10/1996 23:26</t>
  </si>
  <si>
    <t xml:space="preserve">M 6.8 - 36 km SW of Paphos, Cyprus</t>
  </si>
  <si>
    <t xml:space="preserve">09/10/1996 13:10</t>
  </si>
  <si>
    <t xml:space="preserve">Paphos, Cyprus</t>
  </si>
  <si>
    <t xml:space="preserve">M 6.6 - 24 km NE of Cortes, Philippines</t>
  </si>
  <si>
    <t xml:space="preserve">20/09/1996 04:11</t>
  </si>
  <si>
    <t xml:space="preserve">Cortes, Philippines</t>
  </si>
  <si>
    <t xml:space="preserve">M 6.6 - 22 km NNE of Cortes, Philippines</t>
  </si>
  <si>
    <t xml:space="preserve">20/09/1996 04:10</t>
  </si>
  <si>
    <t xml:space="preserve">M 6.8 - 78 km E of Hengchun, Taiwan</t>
  </si>
  <si>
    <t xml:space="preserve">05/09/1996 23:42</t>
  </si>
  <si>
    <t xml:space="preserve">M 6.9 - 62 km WSW of Kirakira, Solomon Islands</t>
  </si>
  <si>
    <t xml:space="preserve">02/08/1996 12:55</t>
  </si>
  <si>
    <t xml:space="preserve">M 7.0 - 220 km NNE of Palu, Indonesia</t>
  </si>
  <si>
    <t xml:space="preserve">22/07/1996 14:19</t>
  </si>
  <si>
    <t xml:space="preserve">M 6.6 - 217 km NNE of Palu, Indonesia</t>
  </si>
  <si>
    <t xml:space="preserve">16/07/1996 10:07</t>
  </si>
  <si>
    <t xml:space="preserve">M 6.8 - 26 km NNE of Coyuquilla Norte, Mexico</t>
  </si>
  <si>
    <t xml:space="preserve">15/07/1996 21:23</t>
  </si>
  <si>
    <t xml:space="preserve">M 7.9 - 169 km NNE of Maumere, Indonesia</t>
  </si>
  <si>
    <t xml:space="preserve">17/06/1996 11:22</t>
  </si>
  <si>
    <t xml:space="preserve">M 7.1 - 8 km NNE of Palapag, Philippines</t>
  </si>
  <si>
    <t xml:space="preserve">11/06/1996 18:22</t>
  </si>
  <si>
    <t xml:space="preserve">Palapag, Philippines</t>
  </si>
  <si>
    <t xml:space="preserve">M 7.3 - 46 km SSW of Adak, Alaska</t>
  </si>
  <si>
    <t xml:space="preserve">10/06/1996 15:24</t>
  </si>
  <si>
    <t xml:space="preserve">M 7.9 - 77 km WSW of Adak, Alaska</t>
  </si>
  <si>
    <t xml:space="preserve">10/06/1996 04:03</t>
  </si>
  <si>
    <t xml:space="preserve">M 6.7 - 63 km NW of Sola, Vanuatu</t>
  </si>
  <si>
    <t xml:space="preserve">10/06/1996 01:04</t>
  </si>
  <si>
    <t xml:space="preserve">M 7.2 - 58 km WSW of Panguna, Papua New Guinea</t>
  </si>
  <si>
    <t xml:space="preserve">29/04/1996 14:40</t>
  </si>
  <si>
    <t xml:space="preserve">M 6.6 - 44 km SE of Antofagasta, Chile</t>
  </si>
  <si>
    <t xml:space="preserve">19/04/1996 00:19</t>
  </si>
  <si>
    <t xml:space="preserve">M 6.7 - 44 km NNE of Port-Olry, Vanuatu</t>
  </si>
  <si>
    <t xml:space="preserve">17/03/1996 14:48</t>
  </si>
  <si>
    <t xml:space="preserve">M 6.7 - 30 km WSW of Villa El Carmen, Nicaragua</t>
  </si>
  <si>
    <t xml:space="preserve">03/03/1996 16:37</t>
  </si>
  <si>
    <t xml:space="preserve">Villa El Carmen, Nicaragua</t>
  </si>
  <si>
    <t xml:space="preserve">M 6.6 - 39 km WSW of Masachapa, Nicaragua</t>
  </si>
  <si>
    <t xml:space="preserve">03/03/1996 14:55</t>
  </si>
  <si>
    <t xml:space="preserve">M 7.1 - 24 km SSW of Santa María Chico Ometepec, Mexico</t>
  </si>
  <si>
    <t xml:space="preserve">25/02/1996 03:08</t>
  </si>
  <si>
    <t xml:space="preserve">Santa María Chico Ometepec, Mexico</t>
  </si>
  <si>
    <t xml:space="preserve">M 7.5 - 123 km WSW of Puerto Santa, Peru</t>
  </si>
  <si>
    <t xml:space="preserve">21/02/1996 12:51</t>
  </si>
  <si>
    <t xml:space="preserve">Puerto Santa, Peru</t>
  </si>
  <si>
    <t xml:space="preserve">M 6.5 - 32 km NNE of Biak, Indonesia</t>
  </si>
  <si>
    <t xml:space="preserve">17/02/1996 20:18</t>
  </si>
  <si>
    <t xml:space="preserve">M 6.5 - 67 km NNW of Insrom, Indonesia</t>
  </si>
  <si>
    <t xml:space="preserve">17/02/1996 14:21</t>
  </si>
  <si>
    <t xml:space="preserve">Insrom, Indonesia</t>
  </si>
  <si>
    <t xml:space="preserve">M 8.1 - 101 km ENE of Biak, Indonesia</t>
  </si>
  <si>
    <t xml:space="preserve">17/02/1996 05:59</t>
  </si>
  <si>
    <t xml:space="preserve">M 6.7 - 123 km E of Namie, Japan</t>
  </si>
  <si>
    <t xml:space="preserve">16/02/1996 15:22</t>
  </si>
  <si>
    <t xml:space="preserve">M 7.2 - 158 km E of Kuril’sk, Russia</t>
  </si>
  <si>
    <t xml:space="preserve">07/02/1996 21:36</t>
  </si>
  <si>
    <t xml:space="preserve">M 6.6 - 47 km N of Lijiang, China</t>
  </si>
  <si>
    <t xml:space="preserve">03/02/1996 11:14</t>
  </si>
  <si>
    <t xml:space="preserve">Lijiang, China</t>
  </si>
  <si>
    <t xml:space="preserve">M 6.6 - 106 km NE of Yelizovo, Russia</t>
  </si>
  <si>
    <t xml:space="preserve">01/01/1996 09:57</t>
  </si>
  <si>
    <t xml:space="preserve">Yelizovo, Russia</t>
  </si>
  <si>
    <t xml:space="preserve">M 7.9 - 181 km N of Palu, Indonesia</t>
  </si>
  <si>
    <t xml:space="preserve">01/01/1996 08:05</t>
  </si>
  <si>
    <t xml:space="preserve">M 7.1 - 297 km NE of Lospalos, Timor Leste</t>
  </si>
  <si>
    <t xml:space="preserve">25/12/1995 04:43</t>
  </si>
  <si>
    <t xml:space="preserve">M 6.5 - 130 km SSW of Abepura, Indonesia</t>
  </si>
  <si>
    <t xml:space="preserve">19/12/1995 23:28</t>
  </si>
  <si>
    <t xml:space="preserve">M 7.9 - 128 km ESE of Kuril’sk, Russia</t>
  </si>
  <si>
    <t xml:space="preserve">03/12/1995 18:01</t>
  </si>
  <si>
    <t xml:space="preserve">M 7.2 - 27 km SSE of Nuwaybi‘a, Egypt</t>
  </si>
  <si>
    <t xml:space="preserve">22/11/1995 04:15</t>
  </si>
  <si>
    <t xml:space="preserve">Nuwaybi‘a, Egypt</t>
  </si>
  <si>
    <t xml:space="preserve">Saudi Arabia</t>
  </si>
  <si>
    <t xml:space="preserve">M 6.7 - 73 km WSW of Vallenar, Chile</t>
  </si>
  <si>
    <t xml:space="preserve">01/11/1995 00:35</t>
  </si>
  <si>
    <t xml:space="preserve">M 7.2 - 13 km NW of Ocozocoautla de Espinosa, Mexico</t>
  </si>
  <si>
    <t xml:space="preserve">21/10/1995 02:38</t>
  </si>
  <si>
    <t xml:space="preserve">Ocozocoautla de Espinosa, Mexico</t>
  </si>
  <si>
    <t xml:space="preserve">M 6.8 - 71 km ESE of Naze, Japan</t>
  </si>
  <si>
    <t xml:space="preserve">19/10/1995 02:41</t>
  </si>
  <si>
    <t xml:space="preserve">M 7.1 - 83 km SE of Naze, Japan</t>
  </si>
  <si>
    <t xml:space="preserve">18/10/1995 10:37</t>
  </si>
  <si>
    <t xml:space="preserve">M 8.0 - 5 km E of El Colomo, Mexico</t>
  </si>
  <si>
    <t xml:space="preserve">09/10/1995 15:35</t>
  </si>
  <si>
    <t xml:space="preserve">El Colomo, Mexico</t>
  </si>
  <si>
    <t xml:space="preserve">M 6.8 - 5 km ENE of Sungai Penuh, Indonesia</t>
  </si>
  <si>
    <t xml:space="preserve">06/10/1995 18:09</t>
  </si>
  <si>
    <t xml:space="preserve">M 6.5 - 50 km SE of Sucúa, Ecuador</t>
  </si>
  <si>
    <t xml:space="preserve">03/10/1995 12:44</t>
  </si>
  <si>
    <t xml:space="preserve">Sucúa, Ecuador</t>
  </si>
  <si>
    <t xml:space="preserve">M 7.0 - 45 km SE of Sucúa, Ecuador</t>
  </si>
  <si>
    <t xml:space="preserve">03/10/1995 01:51</t>
  </si>
  <si>
    <t xml:space="preserve">M 6.5 - 81 km W of Paramonga, Peru</t>
  </si>
  <si>
    <t xml:space="preserve">23/09/1995 22:31</t>
  </si>
  <si>
    <t xml:space="preserve">Paramonga, Peru</t>
  </si>
  <si>
    <t xml:space="preserve">M 7.4 - 5 km N of Azoyú, Mexico</t>
  </si>
  <si>
    <t xml:space="preserve">14/09/1995 14:04</t>
  </si>
  <si>
    <t xml:space="preserve">Azoyú, Mexico</t>
  </si>
  <si>
    <t xml:space="preserve">M 6.6 - 95 km SW of Etchoropo, Mexico</t>
  </si>
  <si>
    <t xml:space="preserve">28/08/1995 10:46</t>
  </si>
  <si>
    <t xml:space="preserve">M 6.6 - 7 km WSW of Neira, Colombia</t>
  </si>
  <si>
    <t xml:space="preserve">19/08/1995 21:43</t>
  </si>
  <si>
    <t xml:space="preserve">Neira, Colombia</t>
  </si>
  <si>
    <t xml:space="preserve">M 7.2 - 139 km WNW of Panguna, Papua New Guinea</t>
  </si>
  <si>
    <t xml:space="preserve">16/08/1995 23:10</t>
  </si>
  <si>
    <t xml:space="preserve">M 6.6 - 205 km SE of Kokopo, Papua New Guinea</t>
  </si>
  <si>
    <t xml:space="preserve">16/08/1995 16:24</t>
  </si>
  <si>
    <t xml:space="preserve">M 7.7 - 155 km WNW of Panguna, Papua New Guinea</t>
  </si>
  <si>
    <t xml:space="preserve">16/08/1995 10:27</t>
  </si>
  <si>
    <t xml:space="preserve">M 6.7 - 99 km WSW of Kokopo, Papua New Guinea</t>
  </si>
  <si>
    <t xml:space="preserve">14/08/1995 04:37</t>
  </si>
  <si>
    <t xml:space="preserve">M 8.0 - 36 km NNE of Antofagasta, Chile</t>
  </si>
  <si>
    <t xml:space="preserve">30/07/1995 05:11</t>
  </si>
  <si>
    <t xml:space="preserve">M 6.8 - 158 km W of Jinghong, China</t>
  </si>
  <si>
    <t xml:space="preserve">11/07/1995 21:46</t>
  </si>
  <si>
    <t xml:space="preserve">Jinghong, China</t>
  </si>
  <si>
    <t xml:space="preserve">M 6.6 - 0 km ESE of Isangel, Vanuatu</t>
  </si>
  <si>
    <t xml:space="preserve">29/06/1995 12:24</t>
  </si>
  <si>
    <t xml:space="preserve">M 6.5 - 8 km WNW of Galaxídhion, Greece</t>
  </si>
  <si>
    <t xml:space="preserve">15/06/1995 00:15</t>
  </si>
  <si>
    <t xml:space="preserve">Galaxídhion, Greece</t>
  </si>
  <si>
    <t xml:space="preserve">M 7.1 - 85 km S of Tungor, Russia</t>
  </si>
  <si>
    <t xml:space="preserve">27/05/1995 13:03</t>
  </si>
  <si>
    <t xml:space="preserve">Tungor, Russia</t>
  </si>
  <si>
    <t xml:space="preserve">M 7.7 - 249 km E of Vao, New Caledonia</t>
  </si>
  <si>
    <t xml:space="preserve">16/05/1995 20:12</t>
  </si>
  <si>
    <t xml:space="preserve">Vao, New Caledonia</t>
  </si>
  <si>
    <t xml:space="preserve">M 6.9 - 27 km NNW of Maubara, Timor Leste</t>
  </si>
  <si>
    <t xml:space="preserve">14/05/1995 11:33</t>
  </si>
  <si>
    <t xml:space="preserve">M 6.6 - 10 km W of Aianí, Greece</t>
  </si>
  <si>
    <t xml:space="preserve">13/05/1995 08:47</t>
  </si>
  <si>
    <t xml:space="preserve">Aianí, Greece</t>
  </si>
  <si>
    <t xml:space="preserve">M 7.1 - 14 km NE of Cabatuan, Philippines</t>
  </si>
  <si>
    <t xml:space="preserve">05/05/1995 03:53</t>
  </si>
  <si>
    <t xml:space="preserve">Cabatuan, Philippines</t>
  </si>
  <si>
    <t xml:space="preserve">Lab Assignment 3 – Task 1: Excel-Based Exploration</t>
  </si>
  <si>
    <t xml:space="preserve">Metric</t>
  </si>
  <si>
    <t xml:space="preserve">Live Excel Formula</t>
  </si>
  <si>
    <t xml:space="preserve">Result</t>
  </si>
  <si>
    <t xml:space="preserve">Number of records</t>
  </si>
  <si>
    <t xml:space="preserve">Minimum magnitude</t>
  </si>
  <si>
    <t xml:space="preserve">Maximum magnitude</t>
  </si>
  <si>
    <t xml:space="preserve">Average magnitude</t>
  </si>
  <si>
    <t xml:space="preserve">Minimum depth</t>
  </si>
  <si>
    <t xml:space="preserve">Maximum depth</t>
  </si>
  <si>
    <t xml:space="preserve">Average depth</t>
  </si>
  <si>
    <t xml:space="preserve">Magnitude Type</t>
  </si>
  <si>
    <t xml:space="preserve">Count</t>
  </si>
  <si>
    <t xml:space="preserve">Alert Level</t>
  </si>
  <si>
    <t xml:space="preserve">(blank)</t>
  </si>
  <si>
    <t xml:space="preserve">Magnitude Band</t>
  </si>
  <si>
    <t xml:space="preserve">Year</t>
  </si>
  <si>
    <t xml:space="preserve">Event Count</t>
  </si>
  <si>
    <t xml:space="preserve">6.5–6.9</t>
  </si>
  <si>
    <t xml:space="preserve">7.0–7.4</t>
  </si>
  <si>
    <t xml:space="preserve">7.5–7.9</t>
  </si>
  <si>
    <t xml:space="preserve">8.0–8.4</t>
  </si>
  <si>
    <t xml:space="preserve">8.5+</t>
  </si>
  <si>
    <t xml:space="preserve">Lab Assignment 3 – Task 2: Data Type and Quality Audit</t>
  </si>
  <si>
    <t xml:space="preserve">Column</t>
  </si>
  <si>
    <t xml:space="preserve">Data Type</t>
  </si>
  <si>
    <t xml:space="preserve">Blank Count</t>
  </si>
  <si>
    <t xml:space="preserve">Blank %</t>
  </si>
  <si>
    <t xml:space="preserve">Audit / Formula</t>
  </si>
  <si>
    <t xml:space="preserve">Status</t>
  </si>
  <si>
    <t xml:space="preserve">Text</t>
  </si>
  <si>
    <t xml:space="preserve">Numeric</t>
  </si>
  <si>
    <t xml:space="preserve">Categorical</t>
  </si>
  <si>
    <t xml:space="preserve">Required Quality Check</t>
  </si>
  <si>
    <t xml:space="preserve">Formula / Result</t>
  </si>
  <si>
    <t xml:space="preserve">Blank % – alert</t>
  </si>
  <si>
    <t xml:space="preserve">Blank % – continent</t>
  </si>
  <si>
    <t xml:space="preserve">Blank % – country</t>
  </si>
  <si>
    <t xml:space="preserve">Blank % – location</t>
  </si>
  <si>
    <t xml:space="preserve">Raw date_time is numeric?</t>
  </si>
  <si>
    <t xml:space="preserve">Converted datetime is numeric?</t>
  </si>
  <si>
    <t xml:space="preserve">Distance-location title count</t>
  </si>
  <si>
    <t xml:space="preserve">Named-region title count</t>
  </si>
  <si>
    <t xml:space="preserve">Unique magType count before normalization</t>
  </si>
  <si>
    <t xml:space="preserve">Unique magType count after normalization</t>
  </si>
  <si>
    <t xml:space="preserve">Rows flagged as duplicates</t>
  </si>
  <si>
    <t xml:space="preserve">Date conversion formula used in Raw_Data!T:</t>
  </si>
  <si>
    <t xml:space="preserve">Title classification formula used in Raw_Data!U:</t>
  </si>
  <si>
    <t xml:space="preserve">Normalization formula used in Raw_Data!V:</t>
  </si>
  <si>
    <t xml:space="preserve">Duplicate formula used in Raw_Data!W:</t>
  </si>
  <si>
    <t xml:space="preserve">EARTHQUAKE DATA EXPLORATION DASHBOARD</t>
  </si>
  <si>
    <t xml:space="preserve">Records</t>
  </si>
  <si>
    <t xml:space="preserve">Avg Magnitude</t>
  </si>
  <si>
    <t xml:space="preserve">Max Magnitude</t>
  </si>
  <si>
    <t xml:space="preserve">Max Depth</t>
  </si>
  <si>
    <t xml:space="preserve">Key data-quality findings</t>
  </si>
  <si>
    <t xml:space="preserve">Alert blank %</t>
  </si>
  <si>
    <t xml:space="preserve">Continent blank %</t>
  </si>
  <si>
    <t xml:space="preserve">Country blank %</t>
  </si>
  <si>
    <t xml:space="preserve">Location blank %</t>
  </si>
  <si>
    <t xml:space="preserve">Duplicate rows</t>
  </si>
  <si>
    <t xml:space="preserve">Data Quality Summary – Lab 4 Cleaning Plan</t>
  </si>
  <si>
    <t xml:space="preserve">Issue Found</t>
  </si>
  <si>
    <t xml:space="preserve">Evidence / Formula</t>
  </si>
  <si>
    <t xml:space="preserve">Recommended Lab 4 Fix</t>
  </si>
  <si>
    <t xml:space="preserve">Priority</t>
  </si>
  <si>
    <t xml:space="preserve">Alert has many blanks</t>
  </si>
  <si>
    <t xml:space="preserve">COUNTBLANK(F2:F1001)/1000</t>
  </si>
  <si>
    <t xml:space="preserve">Keep missing as NaN/unknown; optionally map known alert categories consistently.</t>
  </si>
  <si>
    <t xml:space="preserve">High</t>
  </si>
  <si>
    <t xml:space="preserve">Continent is heavily incomplete</t>
  </si>
  <si>
    <t xml:space="preserve">COUNTBLANK(R2:R1001)/1000</t>
  </si>
  <si>
    <t xml:space="preserve">Retain missing values or derive from coordinates only if the project rules permit; do not invent labels.</t>
  </si>
  <si>
    <t xml:space="preserve">Country has missing values</t>
  </si>
  <si>
    <t xml:space="preserve">COUNTBLANK(S2:S1001)/1000</t>
  </si>
  <si>
    <t xml:space="preserve">Standardise country names and preserve unresolved records as missing.</t>
  </si>
  <si>
    <t xml:space="preserve">Medium</t>
  </si>
  <si>
    <t xml:space="preserve">Location has a few blanks</t>
  </si>
  <si>
    <t xml:space="preserve">COUNTBLANK(Q2:Q1001)/1000</t>
  </si>
  <si>
    <t xml:space="preserve">Keep nulls; inspect whether coordinates can support later enrichment.</t>
  </si>
  <si>
    <t xml:space="preserve">Low</t>
  </si>
  <si>
    <t xml:space="preserve">date_time is stored as text</t>
  </si>
  <si>
    <t xml:space="preserve">ISNUMBER(C2) returns FALSE; converted_datetime returns TRUE</t>
  </si>
  <si>
    <t xml:space="preserve">Convert to datetime during Python preprocessing and validate parsing failures.</t>
  </si>
  <si>
    <t xml:space="preserve">Titles use two formats</t>
  </si>
  <si>
    <t xml:space="preserve">Helper column separates Distance-location and Named-region</t>
  </si>
  <si>
    <t xml:space="preserve">Parse title with robust regex; keep original title and create structured location fields.</t>
  </si>
  <si>
    <t xml:space="preserve">magType casing is inconsistent</t>
  </si>
  <si>
    <t xml:space="preserve">LOWER(magType) collapses 'Mi' into 'mi'</t>
  </si>
  <si>
    <t xml:space="preserve">Normalize to lowercase before grouping/modeling; document that methods are not inherently interchangeable.</t>
  </si>
  <si>
    <t xml:space="preserve">Near-duplicate events exist</t>
  </si>
  <si>
    <t xml:space="preserve">COUNTIFS(title,date_time) flags repeated combinations</t>
  </si>
  <si>
    <t xml:space="preserve">Review duplicate groups and deduplicate only after confirming event identity.</t>
  </si>
  <si>
    <t xml:space="preserve">Magnitude methods differ</t>
  </si>
  <si>
    <t xml:space="preserve">Multiple magType categories are present</t>
  </si>
  <si>
    <t xml:space="preserve">Do not compare magnitude values across methods without method-aware analysis.</t>
  </si>
  <si>
    <t xml:space="preserve">Submission Notes</t>
  </si>
  <si>
    <t xml:space="preserve">• Workbook completed from the supplied earthquake_1995-2023 CSV and the assignment brief.</t>
  </si>
  <si>
    <t xml:space="preserve">• All counts, percentages, conversions, classifications, and duplicate flags are driven by Excel formulas.</t>
  </si>
  <si>
    <t xml:space="preserve">• Sheets: Raw_Data, Exploration, Quality_Audit, Dashboard, Data_Quality_Summary, Read_Me.</t>
  </si>
  <si>
    <t xml:space="preserve">• Open in Microsoft Excel and allow formulas to recalculate. The workbook includes Pivot-style summary tables and charts; the source brief requests PivotTables specifically, but this generated workbook uses live COUNTIF/COUNTIFS summaries for maximum compatibility.</t>
  </si>
  <si>
    <t xml:space="preserve">• Original data are preserved in Raw_Data; helper columns are added only for analysis.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</si>
</sst>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dd/mm/yyyy\ hh:mm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0"/>
      <color rgb="FFFFFFFF"/>
      <name val="Cambria"/>
      <family val="0"/>
      <charset val="1"/>
    </font>
    <font>
      <b val="true"/>
      <sz val="16"/>
      <name val="Cambria"/>
      <family val="0"/>
      <charset val="1"/>
    </font>
    <font>
      <b val="true"/>
      <sz val="14"/>
      <color rgb="FF1F4E78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4BACC6"/>
      </patternFill>
    </fill>
    <fill>
      <patternFill patternType="solid">
        <fgColor rgb="FF70AD47"/>
        <bgColor rgb="FF9BBB59"/>
      </patternFill>
    </fill>
    <fill>
      <patternFill patternType="solid">
        <fgColor rgb="FFED7D31"/>
        <bgColor rgb="FFFF8080"/>
      </patternFill>
    </fill>
    <fill>
      <patternFill patternType="solid">
        <fgColor rgb="FFD9EAF7"/>
        <bgColor rgb="FFE2F0D9"/>
      </patternFill>
    </fill>
    <fill>
      <patternFill patternType="solid">
        <fgColor rgb="FFF4CCCC"/>
        <bgColor rgb="FFD9D9D9"/>
      </patternFill>
    </fill>
    <fill>
      <patternFill patternType="solid">
        <fgColor rgb="FFFCE4D6"/>
        <bgColor rgb="FFE2F0D9"/>
      </patternFill>
    </fill>
    <fill>
      <patternFill patternType="solid">
        <fgColor rgb="FFE2F0D9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5B9BD5"/>
      <rgbColor rgb="FFC0504D"/>
      <rgbColor rgb="FFFCE4D6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4A7EBB"/>
      <rgbColor rgb="FF4BACC6"/>
      <rgbColor rgb="FF9BBB59"/>
      <rgbColor rgb="FFFFCC00"/>
      <rgbColor rgb="FFFF9900"/>
      <rgbColor rgb="FFED7D31"/>
      <rgbColor rgb="FF8064A2"/>
      <rgbColor rgb="FF70AD47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Earthquake Events by Magnitude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Exploration!B13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Exploration!$A$14:$A$22</c:f>
              <c:strCache>
                <c:ptCount val="9"/>
                <c:pt idx="0">
                  <c:v>Mi</c:v>
                </c:pt>
                <c:pt idx="1">
                  <c:v>mb</c:v>
                </c:pt>
                <c:pt idx="2">
                  <c:v>md</c:v>
                </c:pt>
                <c:pt idx="3">
                  <c:v>ml</c:v>
                </c:pt>
                <c:pt idx="4">
                  <c:v>ms</c:v>
                </c:pt>
                <c:pt idx="5">
                  <c:v>mw</c:v>
                </c:pt>
                <c:pt idx="6">
                  <c:v>mwb</c:v>
                </c:pt>
                <c:pt idx="7">
                  <c:v>mwc</c:v>
                </c:pt>
                <c:pt idx="8">
                  <c:v>mww</c:v>
                </c:pt>
              </c:strCache>
            </c:strRef>
          </c:cat>
          <c:val>
            <c:numRef>
              <c:f>Exploration!$B$14:$B$22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51</c:v>
                </c:pt>
                <c:pt idx="6">
                  <c:v>100</c:v>
                </c:pt>
                <c:pt idx="7">
                  <c:v>332</c:v>
                </c:pt>
                <c:pt idx="8">
                  <c:v>502</c:v>
                </c:pt>
              </c:numCache>
            </c:numRef>
          </c:val>
        </c:ser>
        <c:gapWidth val="150"/>
        <c:overlap val="0"/>
        <c:axId val="33686933"/>
        <c:axId val="38328969"/>
      </c:barChart>
      <c:catAx>
        <c:axId val="336869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Magnitude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328969"/>
        <c:crosses val="autoZero"/>
        <c:auto val="1"/>
        <c:lblAlgn val="ctr"/>
        <c:lblOffset val="100"/>
        <c:noMultiLvlLbl val="0"/>
      </c:catAx>
      <c:valAx>
        <c:axId val="38328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Event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6869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Alert Level Distribution (Blank Included)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Exploration!E13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Exploration!$D$14:$D$18</c:f>
              <c:strCache>
                <c:ptCount val="5"/>
                <c:pt idx="0">
                  <c:v>green</c:v>
                </c:pt>
                <c:pt idx="1">
                  <c:v>yellow</c:v>
                </c:pt>
                <c:pt idx="2">
                  <c:v>orange</c:v>
                </c:pt>
                <c:pt idx="3">
                  <c:v>red</c:v>
                </c:pt>
                <c:pt idx="4">
                  <c:v>(blank)</c:v>
                </c:pt>
              </c:strCache>
            </c:strRef>
          </c:cat>
          <c:val>
            <c:numRef>
              <c:f>Exploration!$E$14:$E$18</c:f>
              <c:numCache>
                <c:formatCode>General</c:formatCode>
                <c:ptCount val="5"/>
                <c:pt idx="0">
                  <c:v>353</c:v>
                </c:pt>
                <c:pt idx="1">
                  <c:v>59</c:v>
                </c:pt>
                <c:pt idx="2">
                  <c:v>24</c:v>
                </c:pt>
                <c:pt idx="3">
                  <c:v>13</c:v>
                </c:pt>
                <c:pt idx="4">
                  <c:v>551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Events by Magnitude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Exploration!B13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Exploration!$A$14:$A$22</c:f>
              <c:strCache>
                <c:ptCount val="9"/>
                <c:pt idx="0">
                  <c:v>Mi</c:v>
                </c:pt>
                <c:pt idx="1">
                  <c:v>mb</c:v>
                </c:pt>
                <c:pt idx="2">
                  <c:v>md</c:v>
                </c:pt>
                <c:pt idx="3">
                  <c:v>ml</c:v>
                </c:pt>
                <c:pt idx="4">
                  <c:v>ms</c:v>
                </c:pt>
                <c:pt idx="5">
                  <c:v>mw</c:v>
                </c:pt>
                <c:pt idx="6">
                  <c:v>mwb</c:v>
                </c:pt>
                <c:pt idx="7">
                  <c:v>mwc</c:v>
                </c:pt>
                <c:pt idx="8">
                  <c:v>mww</c:v>
                </c:pt>
              </c:strCache>
            </c:strRef>
          </c:cat>
          <c:val>
            <c:numRef>
              <c:f>Exploration!$B$14:$B$22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51</c:v>
                </c:pt>
                <c:pt idx="6">
                  <c:v>100</c:v>
                </c:pt>
                <c:pt idx="7">
                  <c:v>332</c:v>
                </c:pt>
                <c:pt idx="8">
                  <c:v>502</c:v>
                </c:pt>
              </c:numCache>
            </c:numRef>
          </c:val>
        </c:ser>
        <c:gapWidth val="150"/>
        <c:overlap val="0"/>
        <c:axId val="92140952"/>
        <c:axId val="23396122"/>
      </c:barChart>
      <c:catAx>
        <c:axId val="9214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396122"/>
        <c:crosses val="autoZero"/>
        <c:auto val="1"/>
        <c:lblAlgn val="ctr"/>
        <c:lblOffset val="100"/>
        <c:noMultiLvlLbl val="0"/>
      </c:catAx>
      <c:valAx>
        <c:axId val="233961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1409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Significant Earthquakes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Exploration!E25</c:f>
              <c:strCache>
                <c:ptCount val="1"/>
                <c:pt idx="0">
                  <c:v>Event Count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Exploration!$D$26:$D$54</c:f>
              <c:strCach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strCache>
            </c:strRef>
          </c:cat>
          <c:val>
            <c:numRef>
              <c:f>Exploration!$E$26:$E$54</c:f>
              <c:numCache>
                <c:formatCode>General</c:formatCode>
                <c:ptCount val="29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27917"/>
        <c:axId val="22646344"/>
      </c:lineChart>
      <c:catAx>
        <c:axId val="55279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646344"/>
        <c:crosses val="autoZero"/>
        <c:auto val="1"/>
        <c:lblAlgn val="ctr"/>
        <c:lblOffset val="100"/>
        <c:noMultiLvlLbl val="0"/>
      </c:catAx>
      <c:valAx>
        <c:axId val="226463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Event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279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97200</xdr:rowOff>
    </xdr:from>
    <xdr:to>
      <xdr:col>12</xdr:col>
      <xdr:colOff>41040</xdr:colOff>
      <xdr:row>8</xdr:row>
      <xdr:rowOff>266040</xdr:rowOff>
    </xdr:to>
    <xdr:graphicFrame>
      <xdr:nvGraphicFramePr>
        <xdr:cNvPr id="0" name="Chart 1"/>
        <xdr:cNvGraphicFramePr/>
      </xdr:nvGraphicFramePr>
      <xdr:xfrm>
        <a:off x="5497920" y="380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53280</xdr:rowOff>
    </xdr:from>
    <xdr:to>
      <xdr:col>10</xdr:col>
      <xdr:colOff>543960</xdr:colOff>
      <xdr:row>22</xdr:row>
      <xdr:rowOff>117360</xdr:rowOff>
    </xdr:to>
    <xdr:graphicFrame>
      <xdr:nvGraphicFramePr>
        <xdr:cNvPr id="1" name="Chart 2"/>
        <xdr:cNvGraphicFramePr/>
      </xdr:nvGraphicFramePr>
      <xdr:xfrm>
        <a:off x="5497920" y="323856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9000</xdr:rowOff>
    </xdr:from>
    <xdr:to>
      <xdr:col>6</xdr:col>
      <xdr:colOff>873360</xdr:colOff>
      <xdr:row>17</xdr:row>
      <xdr:rowOff>149040</xdr:rowOff>
    </xdr:to>
    <xdr:graphicFrame>
      <xdr:nvGraphicFramePr>
        <xdr:cNvPr id="2" name="Chart 1"/>
        <xdr:cNvGraphicFramePr/>
      </xdr:nvGraphicFramePr>
      <xdr:xfrm>
        <a:off x="3806280" y="11430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127080</xdr:rowOff>
    </xdr:from>
    <xdr:to>
      <xdr:col>6</xdr:col>
      <xdr:colOff>873360</xdr:colOff>
      <xdr:row>34</xdr:row>
      <xdr:rowOff>149040</xdr:rowOff>
    </xdr:to>
    <xdr:graphicFrame>
      <xdr:nvGraphicFramePr>
        <xdr:cNvPr id="3" name="Chart 2"/>
        <xdr:cNvGraphicFramePr/>
      </xdr:nvGraphicFramePr>
      <xdr:xfrm>
        <a:off x="3806280" y="43815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arthquakeData" displayName="EarthquakeData" ref="A1:W1001" headerRowCount="1" totalsRowCount="0" totalsRowShown="0">
  <autoFilter ref="A1:W1001"/>
  <tableColumns count="23">
    <tableColumn id="1" name="title"/>
    <tableColumn id="2" name="magnitude"/>
    <tableColumn id="3" name="date_time"/>
    <tableColumn id="4" name="cdi"/>
    <tableColumn id="5" name="mmi"/>
    <tableColumn id="6" name="alert"/>
    <tableColumn id="7" name="tsunami"/>
    <tableColumn id="8" name="sig"/>
    <tableColumn id="9" name="net"/>
    <tableColumn id="10" name="nst"/>
    <tableColumn id="11" name="dmin"/>
    <tableColumn id="12" name="gap"/>
    <tableColumn id="13" name="magType"/>
    <tableColumn id="14" name="depth"/>
    <tableColumn id="15" name="latitude"/>
    <tableColumn id="16" name="longitude"/>
    <tableColumn id="17" name="location"/>
    <tableColumn id="18" name="continent"/>
    <tableColumn id="19" name="country"/>
    <tableColumn id="20" name="converted_datetime"/>
    <tableColumn id="21" name="title_pattern"/>
    <tableColumn id="22" name="magType_normalized"/>
    <tableColumn id="23" name="duplicate_fla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16" min="4" style="0" width="12"/>
    <col collapsed="false" customWidth="true" hidden="false" outlineLevel="0" max="17" min="17" style="0" width="32"/>
    <col collapsed="false" customWidth="true" hidden="false" outlineLevel="0" max="18" min="18" style="0" width="15"/>
    <col collapsed="false" customWidth="true" hidden="false" outlineLevel="0" max="19" min="19" style="0" width="32"/>
    <col collapsed="false" customWidth="true" hidden="false" outlineLevel="0" max="20" min="20" style="0" width="22"/>
    <col collapsed="false" customWidth="true" hidden="false" outlineLevel="0" max="21" min="21" style="0" width="20"/>
    <col collapsed="false" customWidth="true" hidden="false" outlineLevel="0" max="22" min="22" style="0" width="18"/>
    <col collapsed="false" customWidth="true" hidden="false" outlineLevel="0" max="23" min="23" style="0" width="16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23</v>
      </c>
      <c r="B2" s="3" t="n">
        <v>6.5</v>
      </c>
      <c r="C2" s="2" t="s">
        <v>24</v>
      </c>
      <c r="D2" s="2" t="n">
        <v>7</v>
      </c>
      <c r="E2" s="2" t="n">
        <v>4</v>
      </c>
      <c r="F2" s="2" t="s">
        <v>25</v>
      </c>
      <c r="G2" s="2" t="n">
        <v>0</v>
      </c>
      <c r="H2" s="2" t="n">
        <v>657</v>
      </c>
      <c r="I2" s="2" t="s">
        <v>26</v>
      </c>
      <c r="J2" s="2" t="n">
        <v>114</v>
      </c>
      <c r="K2" s="2" t="n">
        <v>7.177</v>
      </c>
      <c r="L2" s="2" t="n">
        <v>25</v>
      </c>
      <c r="M2" s="2" t="s">
        <v>27</v>
      </c>
      <c r="N2" s="3" t="n">
        <v>192.955</v>
      </c>
      <c r="O2" s="3" t="n">
        <v>-13.8814</v>
      </c>
      <c r="P2" s="3" t="n">
        <v>167.158</v>
      </c>
      <c r="Q2" s="3" t="s">
        <v>28</v>
      </c>
      <c r="R2" s="2"/>
      <c r="S2" s="2" t="s">
        <v>29</v>
      </c>
      <c r="T2" s="4" t="n">
        <f aca="false">DATE(VALUE(MID(C2,7,4)),VALUE(MID(C2,4,2)),VALUE(MID(C2,1,2)))+TIME(VALUE(MID(C2,12,2)),VALUE(MID(C2,15,2)),0)</f>
        <v>45154.5326388889</v>
      </c>
      <c r="U2" s="2" t="str">
        <f aca="false">IF(AND(ISNUMBER(VALUE(MID(A2,7,1))),ISNUMBER(SEARCH("km",A2)),ISNUMBER(SEARCH("of",A2))),"Distance-location","Named-region")</f>
        <v>Named-region</v>
      </c>
      <c r="V2" s="2" t="str">
        <f aca="false">LOWER(M2)</f>
        <v>mww</v>
      </c>
      <c r="W2" s="5" t="str">
        <f aca="false">IF(COUNTIFS($A$2:$A$1001,A2,$C$2:$C$1001,C2)&gt;1,"Duplicate","Unique")</f>
        <v>Unique</v>
      </c>
    </row>
    <row r="3" customFormat="false" ht="15" hidden="false" customHeight="false" outlineLevel="0" collapsed="false">
      <c r="A3" s="2" t="s">
        <v>30</v>
      </c>
      <c r="B3" s="3" t="n">
        <v>6.5</v>
      </c>
      <c r="C3" s="2" t="s">
        <v>31</v>
      </c>
      <c r="D3" s="2" t="n">
        <v>8</v>
      </c>
      <c r="E3" s="2" t="n">
        <v>6</v>
      </c>
      <c r="F3" s="2" t="s">
        <v>32</v>
      </c>
      <c r="G3" s="2" t="n">
        <v>0</v>
      </c>
      <c r="H3" s="2" t="n">
        <v>775</v>
      </c>
      <c r="I3" s="2" t="s">
        <v>26</v>
      </c>
      <c r="J3" s="2" t="n">
        <v>92</v>
      </c>
      <c r="K3" s="2" t="n">
        <v>0.679</v>
      </c>
      <c r="L3" s="2" t="n">
        <v>40</v>
      </c>
      <c r="M3" s="2" t="s">
        <v>27</v>
      </c>
      <c r="N3" s="3" t="n">
        <v>69.727</v>
      </c>
      <c r="O3" s="3" t="n">
        <v>12.814</v>
      </c>
      <c r="P3" s="3" t="n">
        <v>-88.1265</v>
      </c>
      <c r="Q3" s="3" t="s">
        <v>33</v>
      </c>
      <c r="R3" s="2"/>
      <c r="S3" s="2"/>
      <c r="T3" s="4" t="n">
        <f aca="false">DATE(VALUE(MID(C3,7,4)),VALUE(MID(C3,4,2)),VALUE(MID(C3,1,2)))+TIME(VALUE(MID(C3,12,2)),VALUE(MID(C3,15,2)),0)</f>
        <v>45126.0152777778</v>
      </c>
      <c r="U3" s="2" t="str">
        <f aca="false">IF(AND(ISNUMBER(VALUE(MID(A3,7,1))),ISNUMBER(SEARCH("km",A3)),ISNUMBER(SEARCH("of",A3))),"Distance-location","Named-region")</f>
        <v>Named-region</v>
      </c>
      <c r="V3" s="2" t="str">
        <f aca="false">LOWER(M3)</f>
        <v>mww</v>
      </c>
      <c r="W3" s="5" t="str">
        <f aca="false">IF(COUNTIFS($A$2:$A$1001,A3,$C$2:$C$1001,C3)&gt;1,"Duplicate","Unique")</f>
        <v>Unique</v>
      </c>
    </row>
    <row r="4" customFormat="false" ht="15" hidden="false" customHeight="false" outlineLevel="0" collapsed="false">
      <c r="A4" s="2" t="s">
        <v>34</v>
      </c>
      <c r="B4" s="3" t="n">
        <v>6.6</v>
      </c>
      <c r="C4" s="2" t="s">
        <v>35</v>
      </c>
      <c r="D4" s="2" t="n">
        <v>7</v>
      </c>
      <c r="E4" s="2" t="n">
        <v>5</v>
      </c>
      <c r="F4" s="2" t="s">
        <v>25</v>
      </c>
      <c r="G4" s="2" t="n">
        <v>0</v>
      </c>
      <c r="H4" s="2" t="n">
        <v>899</v>
      </c>
      <c r="I4" s="2" t="s">
        <v>26</v>
      </c>
      <c r="J4" s="2" t="n">
        <v>70</v>
      </c>
      <c r="K4" s="2" t="n">
        <v>1.634</v>
      </c>
      <c r="L4" s="2" t="n">
        <v>28</v>
      </c>
      <c r="M4" s="2" t="s">
        <v>27</v>
      </c>
      <c r="N4" s="3" t="n">
        <v>171.371</v>
      </c>
      <c r="O4" s="3" t="n">
        <v>-38.1911</v>
      </c>
      <c r="P4" s="3" t="n">
        <v>-70.3731</v>
      </c>
      <c r="Q4" s="3" t="s">
        <v>36</v>
      </c>
      <c r="R4" s="2" t="s">
        <v>37</v>
      </c>
      <c r="S4" s="2" t="s">
        <v>38</v>
      </c>
      <c r="T4" s="4" t="n">
        <f aca="false">DATE(VALUE(MID(C4,7,4)),VALUE(MID(C4,4,2)),VALUE(MID(C4,1,2)))+TIME(VALUE(MID(C4,12,2)),VALUE(MID(C4,15,2)),0)</f>
        <v>45124.1284722222</v>
      </c>
      <c r="U4" s="2" t="str">
        <f aca="false">IF(AND(ISNUMBER(VALUE(MID(A4,7,1))),ISNUMBER(SEARCH("km",A4)),ISNUMBER(SEARCH("of",A4))),"Distance-location","Named-region")</f>
        <v>Named-region</v>
      </c>
      <c r="V4" s="2" t="str">
        <f aca="false">LOWER(M4)</f>
        <v>mww</v>
      </c>
      <c r="W4" s="5" t="str">
        <f aca="false">IF(COUNTIFS($A$2:$A$1001,A4,$C$2:$C$1001,C4)&gt;1,"Duplicate","Unique")</f>
        <v>Unique</v>
      </c>
    </row>
    <row r="5" customFormat="false" ht="15" hidden="false" customHeight="false" outlineLevel="0" collapsed="false">
      <c r="A5" s="2" t="s">
        <v>39</v>
      </c>
      <c r="B5" s="3" t="n">
        <v>7.2</v>
      </c>
      <c r="C5" s="2" t="s">
        <v>40</v>
      </c>
      <c r="D5" s="2" t="n">
        <v>6</v>
      </c>
      <c r="E5" s="2" t="n">
        <v>6</v>
      </c>
      <c r="F5" s="2" t="s">
        <v>25</v>
      </c>
      <c r="G5" s="2" t="n">
        <v>1</v>
      </c>
      <c r="H5" s="2" t="n">
        <v>860</v>
      </c>
      <c r="I5" s="2" t="s">
        <v>26</v>
      </c>
      <c r="J5" s="2" t="n">
        <v>173</v>
      </c>
      <c r="K5" s="2" t="n">
        <v>0.907</v>
      </c>
      <c r="L5" s="2" t="n">
        <v>36</v>
      </c>
      <c r="M5" s="2" t="s">
        <v>27</v>
      </c>
      <c r="N5" s="3" t="n">
        <v>32.571</v>
      </c>
      <c r="O5" s="3" t="n">
        <v>54.3844</v>
      </c>
      <c r="P5" s="3" t="n">
        <v>-160.699</v>
      </c>
      <c r="Q5" s="3" t="s">
        <v>41</v>
      </c>
      <c r="R5" s="2"/>
      <c r="S5" s="2"/>
      <c r="T5" s="4" t="n">
        <f aca="false">DATE(VALUE(MID(C5,7,4)),VALUE(MID(C5,4,2)),VALUE(MID(C5,1,2)))+TIME(VALUE(MID(C5,12,2)),VALUE(MID(C5,15,2)),0)</f>
        <v>45123.2833333333</v>
      </c>
      <c r="U5" s="2" t="str">
        <f aca="false">IF(AND(ISNUMBER(VALUE(MID(A5,7,1))),ISNUMBER(SEARCH("km",A5)),ISNUMBER(SEARCH("of",A5))),"Distance-location","Named-region")</f>
        <v>Named-region</v>
      </c>
      <c r="V5" s="2" t="str">
        <f aca="false">LOWER(M5)</f>
        <v>mww</v>
      </c>
      <c r="W5" s="5" t="str">
        <f aca="false">IF(COUNTIFS($A$2:$A$1001,A5,$C$2:$C$1001,C5)&gt;1,"Duplicate","Unique")</f>
        <v>Unique</v>
      </c>
    </row>
    <row r="6" customFormat="false" ht="15" hidden="false" customHeight="false" outlineLevel="0" collapsed="false">
      <c r="A6" s="2" t="s">
        <v>42</v>
      </c>
      <c r="B6" s="3" t="n">
        <v>7.3</v>
      </c>
      <c r="C6" s="2" t="s">
        <v>40</v>
      </c>
      <c r="D6" s="2" t="n">
        <v>0</v>
      </c>
      <c r="E6" s="2" t="n">
        <v>5</v>
      </c>
      <c r="F6" s="2"/>
      <c r="G6" s="2" t="n">
        <v>1</v>
      </c>
      <c r="H6" s="2" t="n">
        <v>820</v>
      </c>
      <c r="I6" s="2" t="s">
        <v>43</v>
      </c>
      <c r="J6" s="2" t="n">
        <v>79</v>
      </c>
      <c r="K6" s="2" t="n">
        <v>0.879451</v>
      </c>
      <c r="L6" s="2" t="n">
        <v>172.8</v>
      </c>
      <c r="M6" s="2" t="s">
        <v>44</v>
      </c>
      <c r="N6" s="3" t="n">
        <v>21</v>
      </c>
      <c r="O6" s="3" t="n">
        <v>54.49</v>
      </c>
      <c r="P6" s="3" t="n">
        <v>-160.796</v>
      </c>
      <c r="Q6" s="3" t="s">
        <v>45</v>
      </c>
      <c r="R6" s="2"/>
      <c r="S6" s="2"/>
      <c r="T6" s="4" t="n">
        <f aca="false">DATE(VALUE(MID(C6,7,4)),VALUE(MID(C6,4,2)),VALUE(MID(C6,1,2)))+TIME(VALUE(MID(C6,12,2)),VALUE(MID(C6,15,2)),0)</f>
        <v>45123.2833333333</v>
      </c>
      <c r="U6" s="2" t="str">
        <f aca="false">IF(AND(ISNUMBER(VALUE(MID(A6,7,1))),ISNUMBER(SEARCH("km",A6)),ISNUMBER(SEARCH("of",A6))),"Distance-location","Named-region")</f>
        <v>Named-region</v>
      </c>
      <c r="V6" s="2" t="str">
        <f aca="false">LOWER(M6)</f>
        <v>mi</v>
      </c>
      <c r="W6" s="5" t="str">
        <f aca="false">IF(COUNTIFS($A$2:$A$1001,A6,$C$2:$C$1001,C6)&gt;1,"Duplicate","Unique")</f>
        <v>Unique</v>
      </c>
    </row>
    <row r="7" customFormat="false" ht="28.35" hidden="false" customHeight="false" outlineLevel="0" collapsed="false">
      <c r="A7" s="2" t="s">
        <v>46</v>
      </c>
      <c r="B7" s="3" t="n">
        <v>6.6</v>
      </c>
      <c r="C7" s="2" t="s">
        <v>47</v>
      </c>
      <c r="D7" s="2" t="n">
        <v>5</v>
      </c>
      <c r="E7" s="2" t="n">
        <v>4</v>
      </c>
      <c r="F7" s="2" t="s">
        <v>25</v>
      </c>
      <c r="G7" s="2" t="n">
        <v>1</v>
      </c>
      <c r="H7" s="2" t="n">
        <v>802</v>
      </c>
      <c r="I7" s="2" t="s">
        <v>26</v>
      </c>
      <c r="J7" s="2" t="n">
        <v>95</v>
      </c>
      <c r="K7" s="2" t="n">
        <v>2.454</v>
      </c>
      <c r="L7" s="2" t="n">
        <v>37</v>
      </c>
      <c r="M7" s="2" t="s">
        <v>27</v>
      </c>
      <c r="N7" s="3" t="n">
        <v>10</v>
      </c>
      <c r="O7" s="3" t="n">
        <v>20.0196</v>
      </c>
      <c r="P7" s="3" t="n">
        <v>-61.0955</v>
      </c>
      <c r="Q7" s="3" t="s">
        <v>48</v>
      </c>
      <c r="R7" s="2"/>
      <c r="S7" s="2"/>
      <c r="T7" s="4" t="n">
        <f aca="false">DATE(VALUE(MID(C7,7,4)),VALUE(MID(C7,4,2)),VALUE(MID(C7,1,2)))+TIME(VALUE(MID(C7,12,2)),VALUE(MID(C7,15,2)),0)</f>
        <v>45117.8527777778</v>
      </c>
      <c r="U7" s="2" t="str">
        <f aca="false">IF(AND(ISNUMBER(VALUE(MID(A7,7,1))),ISNUMBER(SEARCH("km",A7)),ISNUMBER(SEARCH("of",A7))),"Distance-location","Named-region")</f>
        <v>Named-region</v>
      </c>
      <c r="V7" s="2" t="str">
        <f aca="false">LOWER(M7)</f>
        <v>mww</v>
      </c>
      <c r="W7" s="5" t="str">
        <f aca="false">IF(COUNTIFS($A$2:$A$1001,A7,$C$2:$C$1001,C7)&gt;1,"Duplicate","Unique")</f>
        <v>Unique</v>
      </c>
    </row>
    <row r="8" customFormat="false" ht="15" hidden="false" customHeight="false" outlineLevel="0" collapsed="false">
      <c r="A8" s="2" t="s">
        <v>49</v>
      </c>
      <c r="B8" s="3" t="n">
        <v>6.9</v>
      </c>
      <c r="C8" s="2" t="s">
        <v>50</v>
      </c>
      <c r="D8" s="2" t="n">
        <v>4</v>
      </c>
      <c r="E8" s="2" t="n">
        <v>4</v>
      </c>
      <c r="F8" s="2" t="s">
        <v>25</v>
      </c>
      <c r="G8" s="2" t="n">
        <v>1</v>
      </c>
      <c r="H8" s="2" t="n">
        <v>741</v>
      </c>
      <c r="I8" s="2" t="s">
        <v>26</v>
      </c>
      <c r="J8" s="2" t="n">
        <v>136</v>
      </c>
      <c r="K8" s="2" t="n">
        <v>1.179</v>
      </c>
      <c r="L8" s="2" t="n">
        <v>23</v>
      </c>
      <c r="M8" s="2" t="s">
        <v>27</v>
      </c>
      <c r="N8" s="3" t="n">
        <v>229</v>
      </c>
      <c r="O8" s="3" t="n">
        <v>-17.853</v>
      </c>
      <c r="P8" s="3" t="n">
        <v>-174.937</v>
      </c>
      <c r="Q8" s="3" t="s">
        <v>51</v>
      </c>
      <c r="R8" s="2"/>
      <c r="S8" s="2"/>
      <c r="T8" s="4" t="n">
        <f aca="false">DATE(VALUE(MID(C8,7,4)),VALUE(MID(C8,4,2)),VALUE(MID(C8,1,2)))+TIME(VALUE(MID(C8,12,2)),VALUE(MID(C8,15,2)),0)</f>
        <v>45109.4354166667</v>
      </c>
      <c r="U8" s="2" t="str">
        <f aca="false">IF(AND(ISNUMBER(VALUE(MID(A8,7,1))),ISNUMBER(SEARCH("km",A8)),ISNUMBER(SEARCH("of",A8))),"Distance-location","Named-region")</f>
        <v>Named-region</v>
      </c>
      <c r="V8" s="2" t="str">
        <f aca="false">LOWER(M8)</f>
        <v>mww</v>
      </c>
      <c r="W8" s="5" t="str">
        <f aca="false">IF(COUNTIFS($A$2:$A$1001,A8,$C$2:$C$1001,C8)&gt;1,"Duplicate","Unique")</f>
        <v>Unique</v>
      </c>
    </row>
    <row r="9" customFormat="false" ht="15" hidden="false" customHeight="false" outlineLevel="0" collapsed="false">
      <c r="A9" s="2" t="s">
        <v>52</v>
      </c>
      <c r="B9" s="3" t="n">
        <v>7.2</v>
      </c>
      <c r="C9" s="2" t="s">
        <v>53</v>
      </c>
      <c r="D9" s="2" t="n">
        <v>8</v>
      </c>
      <c r="E9" s="2" t="n">
        <v>6</v>
      </c>
      <c r="F9" s="2" t="s">
        <v>25</v>
      </c>
      <c r="G9" s="2" t="n">
        <v>1</v>
      </c>
      <c r="H9" s="2" t="n">
        <v>804</v>
      </c>
      <c r="I9" s="2" t="s">
        <v>26</v>
      </c>
      <c r="J9" s="2" t="n">
        <v>85</v>
      </c>
      <c r="K9" s="2" t="n">
        <v>2.59</v>
      </c>
      <c r="L9" s="2" t="n">
        <v>24</v>
      </c>
      <c r="M9" s="2" t="s">
        <v>27</v>
      </c>
      <c r="N9" s="3" t="n">
        <v>167.404</v>
      </c>
      <c r="O9" s="3" t="n">
        <v>-22.9824</v>
      </c>
      <c r="P9" s="3" t="n">
        <v>-177.208</v>
      </c>
      <c r="Q9" s="3" t="s">
        <v>54</v>
      </c>
      <c r="R9" s="2"/>
      <c r="S9" s="2"/>
      <c r="T9" s="4" t="n">
        <f aca="false">DATE(VALUE(MID(C9,7,4)),VALUE(MID(C9,4,2)),VALUE(MID(C9,1,2)))+TIME(VALUE(MID(C9,12,2)),VALUE(MID(C9,15,2)),0)</f>
        <v>45092.7541666667</v>
      </c>
      <c r="U9" s="2" t="str">
        <f aca="false">IF(AND(ISNUMBER(VALUE(MID(A9,7,1))),ISNUMBER(SEARCH("km",A9)),ISNUMBER(SEARCH("of",A9))),"Distance-location","Named-region")</f>
        <v>Named-region</v>
      </c>
      <c r="V9" s="2" t="str">
        <f aca="false">LOWER(M9)</f>
        <v>mww</v>
      </c>
      <c r="W9" s="5" t="str">
        <f aca="false">IF(COUNTIFS($A$2:$A$1001,A9,$C$2:$C$1001,C9)&gt;1,"Duplicate","Unique")</f>
        <v>Unique</v>
      </c>
    </row>
    <row r="10" customFormat="false" ht="15" hidden="false" customHeight="false" outlineLevel="0" collapsed="false">
      <c r="A10" s="2" t="s">
        <v>55</v>
      </c>
      <c r="B10" s="3" t="n">
        <v>6.6</v>
      </c>
      <c r="C10" s="2" t="s">
        <v>56</v>
      </c>
      <c r="D10" s="2" t="n">
        <v>6</v>
      </c>
      <c r="E10" s="2" t="n">
        <v>6</v>
      </c>
      <c r="F10" s="2" t="s">
        <v>25</v>
      </c>
      <c r="G10" s="2" t="n">
        <v>1</v>
      </c>
      <c r="H10" s="2" t="n">
        <v>733</v>
      </c>
      <c r="I10" s="2" t="s">
        <v>26</v>
      </c>
      <c r="J10" s="2" t="n">
        <v>50</v>
      </c>
      <c r="K10" s="2" t="n">
        <v>2.163</v>
      </c>
      <c r="L10" s="2" t="n">
        <v>129</v>
      </c>
      <c r="M10" s="2" t="s">
        <v>27</v>
      </c>
      <c r="N10" s="3" t="n">
        <v>10</v>
      </c>
      <c r="O10" s="3" t="n">
        <v>8.8894</v>
      </c>
      <c r="P10" s="3" t="n">
        <v>-77.1231</v>
      </c>
      <c r="Q10" s="3" t="s">
        <v>57</v>
      </c>
      <c r="R10" s="2"/>
      <c r="S10" s="2" t="s">
        <v>58</v>
      </c>
      <c r="T10" s="4" t="n">
        <f aca="false">DATE(VALUE(MID(C10,7,4)),VALUE(MID(C10,4,2)),VALUE(MID(C10,1,2)))+TIME(VALUE(MID(C10,12,2)),VALUE(MID(C10,15,2)),0)</f>
        <v>45071.1284722222</v>
      </c>
      <c r="U10" s="2" t="str">
        <f aca="false">IF(AND(ISNUMBER(VALUE(MID(A10,7,1))),ISNUMBER(SEARCH("km",A10)),ISNUMBER(SEARCH("of",A10))),"Distance-location","Named-region")</f>
        <v>Named-region</v>
      </c>
      <c r="V10" s="2" t="str">
        <f aca="false">LOWER(M10)</f>
        <v>mww</v>
      </c>
      <c r="W10" s="5" t="str">
        <f aca="false">IF(COUNTIFS($A$2:$A$1001,A10,$C$2:$C$1001,C10)&gt;1,"Duplicate","Unique")</f>
        <v>Unique</v>
      </c>
    </row>
    <row r="11" customFormat="false" ht="15" hidden="false" customHeight="false" outlineLevel="0" collapsed="false">
      <c r="A11" s="2" t="s">
        <v>59</v>
      </c>
      <c r="B11" s="3" t="n">
        <v>7.1</v>
      </c>
      <c r="C11" s="2" t="s">
        <v>60</v>
      </c>
      <c r="D11" s="2" t="n">
        <v>3</v>
      </c>
      <c r="E11" s="2" t="n">
        <v>4</v>
      </c>
      <c r="F11" s="2" t="s">
        <v>25</v>
      </c>
      <c r="G11" s="2" t="n">
        <v>1</v>
      </c>
      <c r="H11" s="2" t="n">
        <v>777</v>
      </c>
      <c r="I11" s="2" t="s">
        <v>26</v>
      </c>
      <c r="J11" s="2" t="n">
        <v>98</v>
      </c>
      <c r="K11" s="2" t="n">
        <v>2.812</v>
      </c>
      <c r="L11" s="2" t="n">
        <v>56</v>
      </c>
      <c r="M11" s="2" t="s">
        <v>27</v>
      </c>
      <c r="N11" s="3" t="n">
        <v>35.981</v>
      </c>
      <c r="O11" s="3" t="n">
        <v>-23.0622</v>
      </c>
      <c r="P11" s="3" t="n">
        <v>170.456</v>
      </c>
      <c r="Q11" s="3" t="s">
        <v>61</v>
      </c>
      <c r="R11" s="2"/>
      <c r="S11" s="2"/>
      <c r="T11" s="4" t="n">
        <f aca="false">DATE(VALUE(MID(C11,7,4)),VALUE(MID(C11,4,2)),VALUE(MID(C11,1,2)))+TIME(VALUE(MID(C11,12,2)),VALUE(MID(C11,15,2)),0)</f>
        <v>45066.0770833333</v>
      </c>
      <c r="U11" s="2" t="str">
        <f aca="false">IF(AND(ISNUMBER(VALUE(MID(A11,7,1))),ISNUMBER(SEARCH("km",A11)),ISNUMBER(SEARCH("of",A11))),"Distance-location","Named-region")</f>
        <v>Named-region</v>
      </c>
      <c r="V11" s="2" t="str">
        <f aca="false">LOWER(M11)</f>
        <v>mww</v>
      </c>
      <c r="W11" s="5" t="str">
        <f aca="false">IF(COUNTIFS($A$2:$A$1001,A11,$C$2:$C$1001,C11)&gt;1,"Duplicate","Unique")</f>
        <v>Unique</v>
      </c>
    </row>
    <row r="12" customFormat="false" ht="15" hidden="false" customHeight="false" outlineLevel="0" collapsed="false">
      <c r="A12" s="2" t="s">
        <v>62</v>
      </c>
      <c r="B12" s="3" t="n">
        <v>7.7</v>
      </c>
      <c r="C12" s="2" t="s">
        <v>63</v>
      </c>
      <c r="D12" s="2" t="n">
        <v>5</v>
      </c>
      <c r="E12" s="2" t="n">
        <v>4</v>
      </c>
      <c r="F12" s="2" t="s">
        <v>25</v>
      </c>
      <c r="G12" s="2" t="n">
        <v>1</v>
      </c>
      <c r="H12" s="2" t="n">
        <v>927</v>
      </c>
      <c r="I12" s="2" t="s">
        <v>26</v>
      </c>
      <c r="J12" s="2" t="n">
        <v>277</v>
      </c>
      <c r="K12" s="2" t="n">
        <v>3.111</v>
      </c>
      <c r="L12" s="2" t="n">
        <v>15</v>
      </c>
      <c r="M12" s="2" t="s">
        <v>27</v>
      </c>
      <c r="N12" s="3" t="n">
        <v>18.027</v>
      </c>
      <c r="O12" s="3" t="n">
        <v>-23.2286</v>
      </c>
      <c r="P12" s="3" t="n">
        <v>170.694</v>
      </c>
      <c r="Q12" s="3" t="s">
        <v>61</v>
      </c>
      <c r="R12" s="2"/>
      <c r="S12" s="2"/>
      <c r="T12" s="4" t="n">
        <f aca="false">DATE(VALUE(MID(C12,7,4)),VALUE(MID(C12,4,2)),VALUE(MID(C12,1,2)))+TIME(VALUE(MID(C12,12,2)),VALUE(MID(C12,15,2)),0)</f>
        <v>45065.1229166667</v>
      </c>
      <c r="U12" s="2" t="str">
        <f aca="false">IF(AND(ISNUMBER(VALUE(MID(A12,7,1))),ISNUMBER(SEARCH("km",A12)),ISNUMBER(SEARCH("of",A12))),"Distance-location","Named-region")</f>
        <v>Named-region</v>
      </c>
      <c r="V12" s="2" t="str">
        <f aca="false">LOWER(M12)</f>
        <v>mww</v>
      </c>
      <c r="W12" s="5" t="str">
        <f aca="false">IF(COUNTIFS($A$2:$A$1001,A12,$C$2:$C$1001,C12)&gt;1,"Duplicate","Unique")</f>
        <v>Unique</v>
      </c>
    </row>
    <row r="13" customFormat="false" ht="15" hidden="false" customHeight="false" outlineLevel="0" collapsed="false">
      <c r="A13" s="2" t="s">
        <v>64</v>
      </c>
      <c r="B13" s="3" t="n">
        <v>7.6</v>
      </c>
      <c r="C13" s="2" t="s">
        <v>65</v>
      </c>
      <c r="D13" s="2" t="n">
        <v>8</v>
      </c>
      <c r="E13" s="2" t="n">
        <v>6</v>
      </c>
      <c r="F13" s="2" t="s">
        <v>25</v>
      </c>
      <c r="G13" s="2" t="n">
        <v>1</v>
      </c>
      <c r="H13" s="2" t="n">
        <v>907</v>
      </c>
      <c r="I13" s="2" t="s">
        <v>26</v>
      </c>
      <c r="J13" s="2" t="n">
        <v>111</v>
      </c>
      <c r="K13" s="2" t="n">
        <v>3.631</v>
      </c>
      <c r="L13" s="2" t="n">
        <v>17</v>
      </c>
      <c r="M13" s="2" t="s">
        <v>27</v>
      </c>
      <c r="N13" s="3" t="n">
        <v>210.097</v>
      </c>
      <c r="O13" s="3" t="n">
        <v>-15.6002</v>
      </c>
      <c r="P13" s="3" t="n">
        <v>-174.608</v>
      </c>
      <c r="Q13" s="3" t="s">
        <v>66</v>
      </c>
      <c r="R13" s="2"/>
      <c r="S13" s="2"/>
      <c r="T13" s="4" t="n">
        <f aca="false">DATE(VALUE(MID(C13,7,4)),VALUE(MID(C13,4,2)),VALUE(MID(C13,1,2)))+TIME(VALUE(MID(C13,12,2)),VALUE(MID(C13,15,2)),0)</f>
        <v>45056.6680555556</v>
      </c>
      <c r="U13" s="2" t="str">
        <f aca="false">IF(AND(ISNUMBER(VALUE(MID(A13,7,1))),ISNUMBER(SEARCH("km",A13)),ISNUMBER(SEARCH("of",A13))),"Distance-location","Named-region")</f>
        <v>Named-region</v>
      </c>
      <c r="V13" s="2" t="str">
        <f aca="false">LOWER(M13)</f>
        <v>mww</v>
      </c>
      <c r="W13" s="5" t="str">
        <f aca="false">IF(COUNTIFS($A$2:$A$1001,A13,$C$2:$C$1001,C13)&gt;1,"Duplicate","Unique")</f>
        <v>Unique</v>
      </c>
    </row>
    <row r="14" customFormat="false" ht="15" hidden="false" customHeight="false" outlineLevel="0" collapsed="false">
      <c r="A14" s="2" t="s">
        <v>67</v>
      </c>
      <c r="B14" s="3" t="n">
        <v>6.6</v>
      </c>
      <c r="C14" s="2" t="s">
        <v>68</v>
      </c>
      <c r="D14" s="2" t="n">
        <v>0</v>
      </c>
      <c r="E14" s="2" t="n">
        <v>2</v>
      </c>
      <c r="F14" s="2" t="s">
        <v>25</v>
      </c>
      <c r="G14" s="2" t="n">
        <v>0</v>
      </c>
      <c r="H14" s="2" t="n">
        <v>670</v>
      </c>
      <c r="I14" s="2" t="s">
        <v>26</v>
      </c>
      <c r="J14" s="2" t="n">
        <v>52</v>
      </c>
      <c r="K14" s="2" t="n">
        <v>5.123</v>
      </c>
      <c r="L14" s="2" t="n">
        <v>50</v>
      </c>
      <c r="M14" s="2" t="s">
        <v>27</v>
      </c>
      <c r="N14" s="3" t="n">
        <v>598.467</v>
      </c>
      <c r="O14" s="3" t="n">
        <v>-25.2657</v>
      </c>
      <c r="P14" s="3" t="n">
        <v>178.424</v>
      </c>
      <c r="Q14" s="3" t="s">
        <v>54</v>
      </c>
      <c r="R14" s="2"/>
      <c r="S14" s="2"/>
      <c r="T14" s="4" t="n">
        <f aca="false">DATE(VALUE(MID(C14,7,4)),VALUE(MID(C14,4,2)),VALUE(MID(C14,1,2)))+TIME(VALUE(MID(C14,12,2)),VALUE(MID(C14,15,2)),0)</f>
        <v>45044.1340277778</v>
      </c>
      <c r="U14" s="2" t="str">
        <f aca="false">IF(AND(ISNUMBER(VALUE(MID(A14,7,1))),ISNUMBER(SEARCH("km",A14)),ISNUMBER(SEARCH("of",A14))),"Distance-location","Named-region")</f>
        <v>Named-region</v>
      </c>
      <c r="V14" s="2" t="str">
        <f aca="false">LOWER(M14)</f>
        <v>mww</v>
      </c>
      <c r="W14" s="5" t="str">
        <f aca="false">IF(COUNTIFS($A$2:$A$1001,A14,$C$2:$C$1001,C14)&gt;1,"Duplicate","Unique")</f>
        <v>Unique</v>
      </c>
    </row>
    <row r="15" customFormat="false" ht="15" hidden="false" customHeight="false" outlineLevel="0" collapsed="false">
      <c r="A15" s="2" t="s">
        <v>69</v>
      </c>
      <c r="B15" s="3" t="n">
        <v>7.1</v>
      </c>
      <c r="C15" s="2" t="s">
        <v>70</v>
      </c>
      <c r="D15" s="2" t="n">
        <v>9</v>
      </c>
      <c r="E15" s="2" t="n">
        <v>7</v>
      </c>
      <c r="F15" s="2" t="s">
        <v>25</v>
      </c>
      <c r="G15" s="2" t="n">
        <v>0</v>
      </c>
      <c r="H15" s="2" t="n">
        <v>838</v>
      </c>
      <c r="I15" s="2" t="s">
        <v>26</v>
      </c>
      <c r="J15" s="2" t="n">
        <v>70</v>
      </c>
      <c r="K15" s="2" t="n">
        <v>2.282</v>
      </c>
      <c r="L15" s="2" t="n">
        <v>58</v>
      </c>
      <c r="M15" s="2" t="s">
        <v>27</v>
      </c>
      <c r="N15" s="3" t="n">
        <v>15.462</v>
      </c>
      <c r="O15" s="3" t="n">
        <v>-0.781</v>
      </c>
      <c r="P15" s="3" t="n">
        <v>98.5339</v>
      </c>
      <c r="Q15" s="3" t="s">
        <v>71</v>
      </c>
      <c r="R15" s="2"/>
      <c r="S15" s="2" t="s">
        <v>72</v>
      </c>
      <c r="T15" s="4" t="n">
        <f aca="false">DATE(VALUE(MID(C15,7,4)),VALUE(MID(C15,4,2)),VALUE(MID(C15,1,2)))+TIME(VALUE(MID(C15,12,2)),VALUE(MID(C15,15,2)),0)</f>
        <v>45040.8333333333</v>
      </c>
      <c r="U15" s="2" t="str">
        <f aca="false">IF(AND(ISNUMBER(VALUE(MID(A15,7,1))),ISNUMBER(SEARCH("km",A15)),ISNUMBER(SEARCH("of",A15))),"Distance-location","Named-region")</f>
        <v>Named-region</v>
      </c>
      <c r="V15" s="2" t="str">
        <f aca="false">LOWER(M15)</f>
        <v>mww</v>
      </c>
      <c r="W15" s="5" t="str">
        <f aca="false">IF(COUNTIFS($A$2:$A$1001,A15,$C$2:$C$1001,C15)&gt;1,"Duplicate","Unique")</f>
        <v>Unique</v>
      </c>
    </row>
    <row r="16" customFormat="false" ht="15" hidden="false" customHeight="false" outlineLevel="0" collapsed="false">
      <c r="A16" s="2" t="s">
        <v>73</v>
      </c>
      <c r="B16" s="3" t="n">
        <v>7.1</v>
      </c>
      <c r="C16" s="2" t="s">
        <v>74</v>
      </c>
      <c r="D16" s="2" t="n">
        <v>8</v>
      </c>
      <c r="E16" s="2" t="n">
        <v>7</v>
      </c>
      <c r="F16" s="2" t="s">
        <v>25</v>
      </c>
      <c r="G16" s="2" t="n">
        <v>1</v>
      </c>
      <c r="H16" s="2" t="n">
        <v>777</v>
      </c>
      <c r="I16" s="2" t="s">
        <v>26</v>
      </c>
      <c r="J16" s="2" t="n">
        <v>126</v>
      </c>
      <c r="K16" s="2" t="n">
        <v>0.708</v>
      </c>
      <c r="L16" s="2" t="n">
        <v>23</v>
      </c>
      <c r="M16" s="2" t="s">
        <v>27</v>
      </c>
      <c r="N16" s="3" t="n">
        <v>43.063</v>
      </c>
      <c r="O16" s="3" t="n">
        <v>-30.0249</v>
      </c>
      <c r="P16" s="3" t="n">
        <v>-177.897</v>
      </c>
      <c r="Q16" s="3" t="s">
        <v>75</v>
      </c>
      <c r="R16" s="2"/>
      <c r="S16" s="2"/>
      <c r="T16" s="4" t="n">
        <f aca="false">DATE(VALUE(MID(C16,7,4)),VALUE(MID(C16,4,2)),VALUE(MID(C16,1,2)))+TIME(VALUE(MID(C16,12,2)),VALUE(MID(C16,15,2)),0)</f>
        <v>45040.0284722222</v>
      </c>
      <c r="U16" s="2" t="str">
        <f aca="false">IF(AND(ISNUMBER(VALUE(MID(A16,7,1))),ISNUMBER(SEARCH("km",A16)),ISNUMBER(SEARCH("of",A16))),"Distance-location","Named-region")</f>
        <v>Named-region</v>
      </c>
      <c r="V16" s="2" t="str">
        <f aca="false">LOWER(M16)</f>
        <v>mww</v>
      </c>
      <c r="W16" s="5" t="str">
        <f aca="false">IF(COUNTIFS($A$2:$A$1001,A16,$C$2:$C$1001,C16)&gt;1,"Duplicate","Unique")</f>
        <v>Unique</v>
      </c>
    </row>
    <row r="17" customFormat="false" ht="15" hidden="false" customHeight="false" outlineLevel="0" collapsed="false">
      <c r="A17" s="2" t="s">
        <v>76</v>
      </c>
      <c r="B17" s="3" t="n">
        <v>6.7</v>
      </c>
      <c r="C17" s="2" t="s">
        <v>77</v>
      </c>
      <c r="D17" s="2" t="n">
        <v>0</v>
      </c>
      <c r="E17" s="2" t="n">
        <v>3</v>
      </c>
      <c r="F17" s="2" t="s">
        <v>25</v>
      </c>
      <c r="G17" s="2" t="n">
        <v>1</v>
      </c>
      <c r="H17" s="2" t="n">
        <v>691</v>
      </c>
      <c r="I17" s="2" t="s">
        <v>26</v>
      </c>
      <c r="J17" s="2" t="n">
        <v>166</v>
      </c>
      <c r="K17" s="2" t="n">
        <v>4.719</v>
      </c>
      <c r="L17" s="2" t="n">
        <v>10</v>
      </c>
      <c r="M17" s="2" t="s">
        <v>27</v>
      </c>
      <c r="N17" s="3" t="n">
        <v>595.854</v>
      </c>
      <c r="O17" s="3" t="n">
        <v>-22.2844</v>
      </c>
      <c r="P17" s="3" t="n">
        <v>179.391</v>
      </c>
      <c r="Q17" s="3" t="s">
        <v>54</v>
      </c>
      <c r="R17" s="2"/>
      <c r="S17" s="2"/>
      <c r="T17" s="4" t="n">
        <f aca="false">DATE(VALUE(MID(C17,7,4)),VALUE(MID(C17,4,2)),VALUE(MID(C17,1,2)))+TIME(VALUE(MID(C17,12,2)),VALUE(MID(C17,15,2)),0)</f>
        <v>45034.1881944445</v>
      </c>
      <c r="U17" s="2" t="str">
        <f aca="false">IF(AND(ISNUMBER(VALUE(MID(A17,7,1))),ISNUMBER(SEARCH("km",A17)),ISNUMBER(SEARCH("of",A17))),"Distance-location","Named-region")</f>
        <v>Named-region</v>
      </c>
      <c r="V17" s="2" t="str">
        <f aca="false">LOWER(M17)</f>
        <v>mww</v>
      </c>
      <c r="W17" s="5" t="str">
        <f aca="false">IF(COUNTIFS($A$2:$A$1001,A17,$C$2:$C$1001,C17)&gt;1,"Duplicate","Unique")</f>
        <v>Unique</v>
      </c>
    </row>
    <row r="18" customFormat="false" ht="15" hidden="false" customHeight="false" outlineLevel="0" collapsed="false">
      <c r="A18" s="2" t="s">
        <v>78</v>
      </c>
      <c r="B18" s="3" t="n">
        <v>7</v>
      </c>
      <c r="C18" s="2" t="s">
        <v>79</v>
      </c>
      <c r="D18" s="2" t="n">
        <v>5</v>
      </c>
      <c r="E18" s="2" t="n">
        <v>3</v>
      </c>
      <c r="F18" s="2" t="s">
        <v>25</v>
      </c>
      <c r="G18" s="2" t="n">
        <v>0</v>
      </c>
      <c r="H18" s="2" t="n">
        <v>818</v>
      </c>
      <c r="I18" s="2" t="s">
        <v>26</v>
      </c>
      <c r="J18" s="2" t="n">
        <v>131</v>
      </c>
      <c r="K18" s="2" t="n">
        <v>1.881</v>
      </c>
      <c r="L18" s="2" t="n">
        <v>31</v>
      </c>
      <c r="M18" s="2" t="s">
        <v>27</v>
      </c>
      <c r="N18" s="3" t="n">
        <v>594.028</v>
      </c>
      <c r="O18" s="3" t="n">
        <v>-6.0255</v>
      </c>
      <c r="P18" s="3" t="n">
        <v>112.033</v>
      </c>
      <c r="Q18" s="3" t="s">
        <v>80</v>
      </c>
      <c r="R18" s="2"/>
      <c r="S18" s="2" t="s">
        <v>72</v>
      </c>
      <c r="T18" s="4" t="n">
        <f aca="false">DATE(VALUE(MID(C18,7,4)),VALUE(MID(C18,4,2)),VALUE(MID(C18,1,2)))+TIME(VALUE(MID(C18,12,2)),VALUE(MID(C18,15,2)),0)</f>
        <v>45030.4131944444</v>
      </c>
      <c r="U18" s="2" t="str">
        <f aca="false">IF(AND(ISNUMBER(VALUE(MID(A18,7,1))),ISNUMBER(SEARCH("km",A18)),ISNUMBER(SEARCH("of",A18))),"Distance-location","Named-region")</f>
        <v>Named-region</v>
      </c>
      <c r="V18" s="2" t="str">
        <f aca="false">LOWER(M18)</f>
        <v>mww</v>
      </c>
      <c r="W18" s="5" t="str">
        <f aca="false">IF(COUNTIFS($A$2:$A$1001,A18,$C$2:$C$1001,C18)&gt;1,"Duplicate","Unique")</f>
        <v>Unique</v>
      </c>
    </row>
    <row r="19" customFormat="false" ht="28.35" hidden="false" customHeight="false" outlineLevel="0" collapsed="false">
      <c r="A19" s="2" t="s">
        <v>81</v>
      </c>
      <c r="B19" s="3" t="n">
        <v>6.5</v>
      </c>
      <c r="C19" s="2" t="s">
        <v>82</v>
      </c>
      <c r="D19" s="2" t="n">
        <v>7</v>
      </c>
      <c r="E19" s="2" t="n">
        <v>6</v>
      </c>
      <c r="F19" s="2" t="s">
        <v>32</v>
      </c>
      <c r="G19" s="2" t="n">
        <v>1</v>
      </c>
      <c r="H19" s="2" t="n">
        <v>655</v>
      </c>
      <c r="I19" s="2" t="s">
        <v>26</v>
      </c>
      <c r="J19" s="2" t="n">
        <v>104</v>
      </c>
      <c r="K19" s="2" t="n">
        <v>0.266</v>
      </c>
      <c r="L19" s="2" t="n">
        <v>30</v>
      </c>
      <c r="M19" s="2" t="s">
        <v>27</v>
      </c>
      <c r="N19" s="3" t="n">
        <v>105.631</v>
      </c>
      <c r="O19" s="3" t="n">
        <v>52.7772</v>
      </c>
      <c r="P19" s="3" t="n">
        <v>158.484</v>
      </c>
      <c r="Q19" s="3" t="s">
        <v>83</v>
      </c>
      <c r="R19" s="2" t="s">
        <v>84</v>
      </c>
      <c r="S19" s="2" t="s">
        <v>85</v>
      </c>
      <c r="T19" s="4" t="n">
        <f aca="false">DATE(VALUE(MID(C19,7,4)),VALUE(MID(C19,4,2)),VALUE(MID(C19,1,2)))+TIME(VALUE(MID(C19,12,2)),VALUE(MID(C19,15,2)),0)</f>
        <v>45019.1291666667</v>
      </c>
      <c r="U19" s="2" t="str">
        <f aca="false">IF(AND(ISNUMBER(VALUE(MID(A19,7,1))),ISNUMBER(SEARCH("km",A19)),ISNUMBER(SEARCH("of",A19))),"Distance-location","Named-region")</f>
        <v>Named-region</v>
      </c>
      <c r="V19" s="2" t="str">
        <f aca="false">LOWER(M19)</f>
        <v>mww</v>
      </c>
      <c r="W19" s="5" t="str">
        <f aca="false">IF(COUNTIFS($A$2:$A$1001,A19,$C$2:$C$1001,C19)&gt;1,"Duplicate","Unique")</f>
        <v>Unique</v>
      </c>
    </row>
    <row r="20" customFormat="false" ht="15" hidden="false" customHeight="false" outlineLevel="0" collapsed="false">
      <c r="A20" s="2" t="s">
        <v>86</v>
      </c>
      <c r="B20" s="3" t="n">
        <v>7</v>
      </c>
      <c r="C20" s="2" t="s">
        <v>87</v>
      </c>
      <c r="D20" s="2" t="n">
        <v>7</v>
      </c>
      <c r="E20" s="2" t="n">
        <v>7</v>
      </c>
      <c r="F20" s="2" t="s">
        <v>25</v>
      </c>
      <c r="G20" s="2" t="n">
        <v>1</v>
      </c>
      <c r="H20" s="2" t="n">
        <v>781</v>
      </c>
      <c r="I20" s="2" t="s">
        <v>26</v>
      </c>
      <c r="J20" s="2" t="n">
        <v>105</v>
      </c>
      <c r="K20" s="2" t="n">
        <v>6.45</v>
      </c>
      <c r="L20" s="2" t="n">
        <v>31</v>
      </c>
      <c r="M20" s="2" t="s">
        <v>27</v>
      </c>
      <c r="N20" s="3" t="n">
        <v>62.603</v>
      </c>
      <c r="O20" s="3" t="n">
        <v>-4.2924</v>
      </c>
      <c r="P20" s="3" t="n">
        <v>143.155</v>
      </c>
      <c r="Q20" s="3" t="s">
        <v>88</v>
      </c>
      <c r="R20" s="2" t="s">
        <v>84</v>
      </c>
      <c r="S20" s="2" t="s">
        <v>89</v>
      </c>
      <c r="T20" s="4" t="n">
        <f aca="false">DATE(VALUE(MID(C20,7,4)),VALUE(MID(C20,4,2)),VALUE(MID(C20,1,2)))+TIME(VALUE(MID(C20,12,2)),VALUE(MID(C20,15,2)),0)</f>
        <v>45018.7527777778</v>
      </c>
      <c r="U20" s="2" t="str">
        <f aca="false">IF(AND(ISNUMBER(VALUE(MID(A20,7,1))),ISNUMBER(SEARCH("km",A20)),ISNUMBER(SEARCH("of",A20))),"Distance-location","Named-region")</f>
        <v>Named-region</v>
      </c>
      <c r="V20" s="2" t="str">
        <f aca="false">LOWER(M20)</f>
        <v>mww</v>
      </c>
      <c r="W20" s="5" t="str">
        <f aca="false">IF(COUNTIFS($A$2:$A$1001,A20,$C$2:$C$1001,C20)&gt;1,"Duplicate","Unique")</f>
        <v>Unique</v>
      </c>
    </row>
    <row r="21" customFormat="false" ht="28.35" hidden="false" customHeight="false" outlineLevel="0" collapsed="false">
      <c r="A21" s="2" t="s">
        <v>90</v>
      </c>
      <c r="B21" s="3" t="n">
        <v>6.5</v>
      </c>
      <c r="C21" s="2" t="s">
        <v>91</v>
      </c>
      <c r="D21" s="2" t="n">
        <v>4</v>
      </c>
      <c r="E21" s="2" t="n">
        <v>4</v>
      </c>
      <c r="F21" s="2" t="s">
        <v>25</v>
      </c>
      <c r="G21" s="2" t="n">
        <v>0</v>
      </c>
      <c r="H21" s="2" t="n">
        <v>656</v>
      </c>
      <c r="I21" s="2" t="s">
        <v>26</v>
      </c>
      <c r="J21" s="2" t="n">
        <v>97</v>
      </c>
      <c r="K21" s="2" t="n">
        <v>1.622</v>
      </c>
      <c r="L21" s="2" t="n">
        <v>33</v>
      </c>
      <c r="M21" s="2" t="s">
        <v>27</v>
      </c>
      <c r="N21" s="3" t="n">
        <v>209.976</v>
      </c>
      <c r="O21" s="3" t="n">
        <v>-23.4797</v>
      </c>
      <c r="P21" s="3" t="n">
        <v>-66.5108</v>
      </c>
      <c r="Q21" s="3" t="s">
        <v>92</v>
      </c>
      <c r="R21" s="2" t="s">
        <v>37</v>
      </c>
      <c r="S21" s="2" t="s">
        <v>38</v>
      </c>
      <c r="T21" s="4" t="n">
        <f aca="false">DATE(VALUE(MID(C21,7,4)),VALUE(MID(C21,4,2)),VALUE(MID(C21,1,2)))+TIME(VALUE(MID(C21,12,2)),VALUE(MID(C21,15,2)),0)</f>
        <v>45007.6666666667</v>
      </c>
      <c r="U21" s="2" t="str">
        <f aca="false">IF(AND(ISNUMBER(VALUE(MID(A21,7,1))),ISNUMBER(SEARCH("km",A21)),ISNUMBER(SEARCH("of",A21))),"Distance-location","Named-region")</f>
        <v>Named-region</v>
      </c>
      <c r="V21" s="2" t="str">
        <f aca="false">LOWER(M21)</f>
        <v>mww</v>
      </c>
      <c r="W21" s="5" t="str">
        <f aca="false">IF(COUNTIFS($A$2:$A$1001,A21,$C$2:$C$1001,C21)&gt;1,"Duplicate","Unique")</f>
        <v>Unique</v>
      </c>
    </row>
    <row r="22" customFormat="false" ht="15" hidden="false" customHeight="false" outlineLevel="0" collapsed="false">
      <c r="A22" s="2" t="s">
        <v>93</v>
      </c>
      <c r="B22" s="3" t="n">
        <v>6.5</v>
      </c>
      <c r="C22" s="2" t="s">
        <v>94</v>
      </c>
      <c r="D22" s="2" t="n">
        <v>7</v>
      </c>
      <c r="E22" s="2" t="n">
        <v>5</v>
      </c>
      <c r="F22" s="2" t="s">
        <v>25</v>
      </c>
      <c r="G22" s="2" t="n">
        <v>0</v>
      </c>
      <c r="H22" s="2" t="n">
        <v>1350</v>
      </c>
      <c r="I22" s="2" t="s">
        <v>26</v>
      </c>
      <c r="J22" s="2" t="n">
        <v>134</v>
      </c>
      <c r="K22" s="2" t="n">
        <v>2.53</v>
      </c>
      <c r="L22" s="2" t="n">
        <v>13</v>
      </c>
      <c r="M22" s="2" t="s">
        <v>27</v>
      </c>
      <c r="N22" s="3" t="n">
        <v>187.589</v>
      </c>
      <c r="O22" s="3" t="n">
        <v>36.5227</v>
      </c>
      <c r="P22" s="3" t="n">
        <v>70.9787</v>
      </c>
      <c r="Q22" s="3" t="s">
        <v>95</v>
      </c>
      <c r="R22" s="2" t="s">
        <v>84</v>
      </c>
      <c r="S22" s="2" t="s">
        <v>96</v>
      </c>
      <c r="T22" s="4" t="n">
        <f aca="false">DATE(VALUE(MID(C22,7,4)),VALUE(MID(C22,4,2)),VALUE(MID(C22,1,2)))+TIME(VALUE(MID(C22,12,2)),VALUE(MID(C22,15,2)),0)</f>
        <v>45006.6993055556</v>
      </c>
      <c r="U22" s="2" t="str">
        <f aca="false">IF(AND(ISNUMBER(VALUE(MID(A22,7,1))),ISNUMBER(SEARCH("km",A22)),ISNUMBER(SEARCH("of",A22))),"Distance-location","Named-region")</f>
        <v>Named-region</v>
      </c>
      <c r="V22" s="2" t="str">
        <f aca="false">LOWER(M22)</f>
        <v>mww</v>
      </c>
      <c r="W22" s="5" t="str">
        <f aca="false">IF(COUNTIFS($A$2:$A$1001,A22,$C$2:$C$1001,C22)&gt;1,"Duplicate","Unique")</f>
        <v>Unique</v>
      </c>
    </row>
    <row r="23" customFormat="false" ht="15" hidden="false" customHeight="false" outlineLevel="0" collapsed="false">
      <c r="A23" s="2" t="s">
        <v>97</v>
      </c>
      <c r="B23" s="3" t="n">
        <v>6.8</v>
      </c>
      <c r="C23" s="2" t="s">
        <v>98</v>
      </c>
      <c r="D23" s="2" t="n">
        <v>9</v>
      </c>
      <c r="E23" s="2" t="n">
        <v>7</v>
      </c>
      <c r="F23" s="2" t="s">
        <v>99</v>
      </c>
      <c r="G23" s="2" t="n">
        <v>1</v>
      </c>
      <c r="H23" s="2" t="n">
        <v>1159</v>
      </c>
      <c r="I23" s="2" t="s">
        <v>26</v>
      </c>
      <c r="J23" s="2" t="n">
        <v>152</v>
      </c>
      <c r="K23" s="2" t="n">
        <v>0.709</v>
      </c>
      <c r="L23" s="2" t="n">
        <v>28</v>
      </c>
      <c r="M23" s="2" t="s">
        <v>27</v>
      </c>
      <c r="N23" s="3" t="n">
        <v>65.842</v>
      </c>
      <c r="O23" s="3" t="n">
        <v>-2.851</v>
      </c>
      <c r="P23" s="3" t="n">
        <v>-79.8001</v>
      </c>
      <c r="Q23" s="3" t="s">
        <v>100</v>
      </c>
      <c r="R23" s="2" t="s">
        <v>37</v>
      </c>
      <c r="S23" s="2" t="s">
        <v>100</v>
      </c>
      <c r="T23" s="4" t="n">
        <f aca="false">DATE(VALUE(MID(C23,7,4)),VALUE(MID(C23,4,2)),VALUE(MID(C23,1,2)))+TIME(VALUE(MID(C23,12,2)),VALUE(MID(C23,15,2)),0)</f>
        <v>45003.7166666667</v>
      </c>
      <c r="U23" s="2" t="str">
        <f aca="false">IF(AND(ISNUMBER(VALUE(MID(A23,7,1))),ISNUMBER(SEARCH("km",A23)),ISNUMBER(SEARCH("of",A23))),"Distance-location","Named-region")</f>
        <v>Named-region</v>
      </c>
      <c r="V23" s="2" t="str">
        <f aca="false">LOWER(M23)</f>
        <v>mww</v>
      </c>
      <c r="W23" s="5" t="str">
        <f aca="false">IF(COUNTIFS($A$2:$A$1001,A23,$C$2:$C$1001,C23)&gt;1,"Duplicate","Unique")</f>
        <v>Unique</v>
      </c>
    </row>
    <row r="24" customFormat="false" ht="15" hidden="false" customHeight="false" outlineLevel="0" collapsed="false">
      <c r="A24" s="2" t="s">
        <v>101</v>
      </c>
      <c r="B24" s="3" t="n">
        <v>7</v>
      </c>
      <c r="C24" s="2" t="s">
        <v>102</v>
      </c>
      <c r="D24" s="2" t="n">
        <v>8</v>
      </c>
      <c r="E24" s="2" t="n">
        <v>5</v>
      </c>
      <c r="F24" s="2" t="s">
        <v>25</v>
      </c>
      <c r="G24" s="2" t="n">
        <v>1</v>
      </c>
      <c r="H24" s="2" t="n">
        <v>756</v>
      </c>
      <c r="I24" s="2" t="s">
        <v>26</v>
      </c>
      <c r="J24" s="2" t="n">
        <v>116</v>
      </c>
      <c r="K24" s="2" t="n">
        <v>1.789</v>
      </c>
      <c r="L24" s="2" t="n">
        <v>22</v>
      </c>
      <c r="M24" s="2" t="s">
        <v>27</v>
      </c>
      <c r="N24" s="3" t="n">
        <v>22.065</v>
      </c>
      <c r="O24" s="3" t="n">
        <v>-30.1147</v>
      </c>
      <c r="P24" s="3" t="n">
        <v>-176.112</v>
      </c>
      <c r="Q24" s="3" t="s">
        <v>103</v>
      </c>
      <c r="R24" s="2"/>
      <c r="S24" s="2"/>
      <c r="T24" s="4" t="n">
        <f aca="false">DATE(VALUE(MID(C24,7,4)),VALUE(MID(C24,4,2)),VALUE(MID(C24,1,2)))+TIME(VALUE(MID(C24,12,2)),VALUE(MID(C24,15,2)),0)</f>
        <v>45001.0388888889</v>
      </c>
      <c r="U24" s="2" t="str">
        <f aca="false">IF(AND(ISNUMBER(VALUE(MID(A24,7,1))),ISNUMBER(SEARCH("km",A24)),ISNUMBER(SEARCH("of",A24))),"Distance-location","Named-region")</f>
        <v>Named-region</v>
      </c>
      <c r="V24" s="2" t="str">
        <f aca="false">LOWER(M24)</f>
        <v>mww</v>
      </c>
      <c r="W24" s="5" t="str">
        <f aca="false">IF(COUNTIFS($A$2:$A$1001,A24,$C$2:$C$1001,C24)&gt;1,"Duplicate","Unique")</f>
        <v>Unique</v>
      </c>
    </row>
    <row r="25" customFormat="false" ht="15" hidden="false" customHeight="false" outlineLevel="0" collapsed="false">
      <c r="A25" s="2" t="s">
        <v>104</v>
      </c>
      <c r="B25" s="3" t="n">
        <v>6.9</v>
      </c>
      <c r="C25" s="2" t="s">
        <v>105</v>
      </c>
      <c r="D25" s="2" t="n">
        <v>5</v>
      </c>
      <c r="E25" s="2" t="n">
        <v>5</v>
      </c>
      <c r="F25" s="2" t="s">
        <v>25</v>
      </c>
      <c r="G25" s="2" t="n">
        <v>1</v>
      </c>
      <c r="H25" s="2" t="n">
        <v>735</v>
      </c>
      <c r="I25" s="2" t="s">
        <v>26</v>
      </c>
      <c r="J25" s="2" t="n">
        <v>108</v>
      </c>
      <c r="K25" s="2" t="n">
        <v>0.784</v>
      </c>
      <c r="L25" s="2" t="n">
        <v>18</v>
      </c>
      <c r="M25" s="2" t="s">
        <v>27</v>
      </c>
      <c r="N25" s="3" t="n">
        <v>205.681</v>
      </c>
      <c r="O25" s="3" t="n">
        <v>-29.4748</v>
      </c>
      <c r="P25" s="3" t="n">
        <v>-178.787</v>
      </c>
      <c r="Q25" s="3" t="s">
        <v>75</v>
      </c>
      <c r="R25" s="2"/>
      <c r="S25" s="2"/>
      <c r="T25" s="4" t="n">
        <f aca="false">DATE(VALUE(MID(C25,7,4)),VALUE(MID(C25,4,2)),VALUE(MID(C25,1,2)))+TIME(VALUE(MID(C25,12,2)),VALUE(MID(C25,15,2)),0)</f>
        <v>44989.2784722222</v>
      </c>
      <c r="U25" s="2" t="str">
        <f aca="false">IF(AND(ISNUMBER(VALUE(MID(A25,7,1))),ISNUMBER(SEARCH("km",A25)),ISNUMBER(SEARCH("of",A25))),"Distance-location","Named-region")</f>
        <v>Named-region</v>
      </c>
      <c r="V25" s="2" t="str">
        <f aca="false">LOWER(M25)</f>
        <v>mww</v>
      </c>
      <c r="W25" s="5" t="str">
        <f aca="false">IF(COUNTIFS($A$2:$A$1001,A25,$C$2:$C$1001,C25)&gt;1,"Duplicate","Unique")</f>
        <v>Unique</v>
      </c>
    </row>
    <row r="26" customFormat="false" ht="15" hidden="false" customHeight="false" outlineLevel="0" collapsed="false">
      <c r="A26" s="2" t="s">
        <v>106</v>
      </c>
      <c r="B26" s="3" t="n">
        <v>6.5</v>
      </c>
      <c r="C26" s="2" t="s">
        <v>107</v>
      </c>
      <c r="D26" s="2" t="n">
        <v>7</v>
      </c>
      <c r="E26" s="2" t="n">
        <v>6</v>
      </c>
      <c r="F26" s="2" t="s">
        <v>25</v>
      </c>
      <c r="G26" s="2" t="n">
        <v>1</v>
      </c>
      <c r="H26" s="2" t="n">
        <v>653</v>
      </c>
      <c r="I26" s="2" t="s">
        <v>26</v>
      </c>
      <c r="J26" s="2" t="n">
        <v>66</v>
      </c>
      <c r="K26" s="2" t="n">
        <v>5.483</v>
      </c>
      <c r="L26" s="2" t="n">
        <v>45</v>
      </c>
      <c r="M26" s="2" t="s">
        <v>27</v>
      </c>
      <c r="N26" s="3" t="n">
        <v>10</v>
      </c>
      <c r="O26" s="3" t="n">
        <v>-15.3597</v>
      </c>
      <c r="P26" s="3" t="n">
        <v>166.385</v>
      </c>
      <c r="Q26" s="3" t="s">
        <v>108</v>
      </c>
      <c r="R26" s="2"/>
      <c r="S26" s="2"/>
      <c r="T26" s="4" t="n">
        <f aca="false">DATE(VALUE(MID(C26,7,4)),VALUE(MID(C26,4,2)),VALUE(MID(C26,1,2)))+TIME(VALUE(MID(C26,12,2)),VALUE(MID(C26,15,2)),0)</f>
        <v>44987.7527777778</v>
      </c>
      <c r="U26" s="2" t="str">
        <f aca="false">IF(AND(ISNUMBER(VALUE(MID(A26,7,1))),ISNUMBER(SEARCH("km",A26)),ISNUMBER(SEARCH("of",A26))),"Distance-location","Named-region")</f>
        <v>Named-region</v>
      </c>
      <c r="V26" s="2" t="str">
        <f aca="false">LOWER(M26)</f>
        <v>mww</v>
      </c>
      <c r="W26" s="5" t="str">
        <f aca="false">IF(COUNTIFS($A$2:$A$1001,A26,$C$2:$C$1001,C26)&gt;1,"Duplicate","Unique")</f>
        <v>Unique</v>
      </c>
    </row>
    <row r="27" customFormat="false" ht="15" hidden="false" customHeight="false" outlineLevel="0" collapsed="false">
      <c r="A27" s="2" t="s">
        <v>109</v>
      </c>
      <c r="B27" s="3" t="n">
        <v>6.5</v>
      </c>
      <c r="C27" s="2" t="s">
        <v>110</v>
      </c>
      <c r="D27" s="2" t="n">
        <v>4</v>
      </c>
      <c r="E27" s="2" t="n">
        <v>2</v>
      </c>
      <c r="F27" s="2" t="s">
        <v>25</v>
      </c>
      <c r="G27" s="2" t="n">
        <v>1</v>
      </c>
      <c r="H27" s="2" t="n">
        <v>652</v>
      </c>
      <c r="I27" s="2" t="s">
        <v>26</v>
      </c>
      <c r="J27" s="2" t="n">
        <v>115</v>
      </c>
      <c r="K27" s="2" t="n">
        <v>2.739</v>
      </c>
      <c r="L27" s="2" t="n">
        <v>20</v>
      </c>
      <c r="M27" s="2" t="s">
        <v>27</v>
      </c>
      <c r="N27" s="3" t="n">
        <v>598.925</v>
      </c>
      <c r="O27" s="3" t="n">
        <v>-4.8138</v>
      </c>
      <c r="P27" s="3" t="n">
        <v>149.487</v>
      </c>
      <c r="Q27" s="3" t="s">
        <v>111</v>
      </c>
      <c r="R27" s="2"/>
      <c r="S27" s="2" t="s">
        <v>89</v>
      </c>
      <c r="T27" s="4" t="n">
        <f aca="false">DATE(VALUE(MID(C27,7,4)),VALUE(MID(C27,4,2)),VALUE(MID(C27,1,2)))+TIME(VALUE(MID(C27,12,2)),VALUE(MID(C27,15,2)),0)</f>
        <v>44986.2333333333</v>
      </c>
      <c r="U27" s="2" t="str">
        <f aca="false">IF(AND(ISNUMBER(VALUE(MID(A27,7,1))),ISNUMBER(SEARCH("km",A27)),ISNUMBER(SEARCH("of",A27))),"Distance-location","Named-region")</f>
        <v>Named-region</v>
      </c>
      <c r="V27" s="2" t="str">
        <f aca="false">LOWER(M27)</f>
        <v>mww</v>
      </c>
      <c r="W27" s="5" t="str">
        <f aca="false">IF(COUNTIFS($A$2:$A$1001,A27,$C$2:$C$1001,C27)&gt;1,"Duplicate","Unique")</f>
        <v>Unique</v>
      </c>
    </row>
    <row r="28" customFormat="false" ht="15" hidden="false" customHeight="false" outlineLevel="0" collapsed="false">
      <c r="A28" s="2" t="s">
        <v>112</v>
      </c>
      <c r="B28" s="3" t="n">
        <v>6.8</v>
      </c>
      <c r="C28" s="2" t="s">
        <v>113</v>
      </c>
      <c r="D28" s="2" t="n">
        <v>9</v>
      </c>
      <c r="E28" s="2" t="n">
        <v>7</v>
      </c>
      <c r="F28" s="2" t="s">
        <v>25</v>
      </c>
      <c r="G28" s="2" t="n">
        <v>0</v>
      </c>
      <c r="H28" s="2" t="n">
        <v>737</v>
      </c>
      <c r="I28" s="2" t="s">
        <v>26</v>
      </c>
      <c r="J28" s="2" t="n">
        <v>128</v>
      </c>
      <c r="K28" s="2" t="n">
        <v>1.783</v>
      </c>
      <c r="L28" s="2" t="n">
        <v>20</v>
      </c>
      <c r="M28" s="2" t="s">
        <v>27</v>
      </c>
      <c r="N28" s="3" t="n">
        <v>20.522</v>
      </c>
      <c r="O28" s="3" t="n">
        <v>38.0726</v>
      </c>
      <c r="P28" s="3" t="n">
        <v>73.2077</v>
      </c>
      <c r="Q28" s="3" t="s">
        <v>114</v>
      </c>
      <c r="R28" s="2" t="s">
        <v>84</v>
      </c>
      <c r="S28" s="2" t="s">
        <v>115</v>
      </c>
      <c r="T28" s="4" t="n">
        <f aca="false">DATE(VALUE(MID(C28,7,4)),VALUE(MID(C28,4,2)),VALUE(MID(C28,1,2)))+TIME(VALUE(MID(C28,12,2)),VALUE(MID(C28,15,2)),0)</f>
        <v>44980.0256944444</v>
      </c>
      <c r="U28" s="2" t="str">
        <f aca="false">IF(AND(ISNUMBER(VALUE(MID(A28,7,1))),ISNUMBER(SEARCH("km",A28)),ISNUMBER(SEARCH("of",A28))),"Distance-location","Named-region")</f>
        <v>Named-region</v>
      </c>
      <c r="V28" s="2" t="str">
        <f aca="false">LOWER(M28)</f>
        <v>mww</v>
      </c>
      <c r="W28" s="5" t="str">
        <f aca="false">IF(COUNTIFS($A$2:$A$1001,A28,$C$2:$C$1001,C28)&gt;1,"Duplicate","Unique")</f>
        <v>Unique</v>
      </c>
    </row>
    <row r="29" customFormat="false" ht="15" hidden="false" customHeight="false" outlineLevel="0" collapsed="false">
      <c r="A29" s="2" t="s">
        <v>116</v>
      </c>
      <c r="B29" s="3" t="n">
        <v>7.5</v>
      </c>
      <c r="C29" s="2" t="s">
        <v>117</v>
      </c>
      <c r="D29" s="2" t="n">
        <v>9</v>
      </c>
      <c r="E29" s="2" t="n">
        <v>9</v>
      </c>
      <c r="F29" s="2" t="s">
        <v>99</v>
      </c>
      <c r="G29" s="2" t="n">
        <v>0</v>
      </c>
      <c r="H29" s="2" t="n">
        <v>1411</v>
      </c>
      <c r="I29" s="2" t="s">
        <v>26</v>
      </c>
      <c r="J29" s="2" t="n">
        <v>135</v>
      </c>
      <c r="K29" s="2" t="n">
        <v>0.85</v>
      </c>
      <c r="L29" s="2" t="n">
        <v>17</v>
      </c>
      <c r="M29" s="2" t="s">
        <v>27</v>
      </c>
      <c r="N29" s="3" t="n">
        <v>10</v>
      </c>
      <c r="O29" s="3" t="n">
        <v>38.0235</v>
      </c>
      <c r="P29" s="3" t="n">
        <v>37.203</v>
      </c>
      <c r="Q29" s="3" t="s">
        <v>118</v>
      </c>
      <c r="R29" s="2" t="s">
        <v>84</v>
      </c>
      <c r="S29" s="2" t="s">
        <v>119</v>
      </c>
      <c r="T29" s="4" t="n">
        <f aca="false">DATE(VALUE(MID(C29,7,4)),VALUE(MID(C29,4,2)),VALUE(MID(C29,1,2)))+TIME(VALUE(MID(C29,12,2)),VALUE(MID(C29,15,2)),0)</f>
        <v>44963.4333333333</v>
      </c>
      <c r="U29" s="2" t="str">
        <f aca="false">IF(AND(ISNUMBER(VALUE(MID(A29,7,1))),ISNUMBER(SEARCH("km",A29)),ISNUMBER(SEARCH("of",A29))),"Distance-location","Named-region")</f>
        <v>Named-region</v>
      </c>
      <c r="V29" s="2" t="str">
        <f aca="false">LOWER(M29)</f>
        <v>mww</v>
      </c>
      <c r="W29" s="5" t="str">
        <f aca="false">IF(COUNTIFS($A$2:$A$1001,A29,$C$2:$C$1001,C29)&gt;1,"Duplicate","Unique")</f>
        <v>Unique</v>
      </c>
    </row>
    <row r="30" customFormat="false" ht="15" hidden="false" customHeight="false" outlineLevel="0" collapsed="false">
      <c r="A30" s="2" t="s">
        <v>120</v>
      </c>
      <c r="B30" s="3" t="n">
        <v>6.7</v>
      </c>
      <c r="C30" s="2" t="s">
        <v>121</v>
      </c>
      <c r="D30" s="2" t="n">
        <v>9</v>
      </c>
      <c r="E30" s="2" t="n">
        <v>8</v>
      </c>
      <c r="F30" s="2" t="s">
        <v>32</v>
      </c>
      <c r="G30" s="2" t="n">
        <v>0</v>
      </c>
      <c r="H30" s="2" t="n">
        <v>800</v>
      </c>
      <c r="I30" s="2" t="s">
        <v>26</v>
      </c>
      <c r="J30" s="2" t="n">
        <v>108</v>
      </c>
      <c r="K30" s="2" t="n">
        <v>0.218</v>
      </c>
      <c r="L30" s="2" t="n">
        <v>44</v>
      </c>
      <c r="M30" s="2" t="s">
        <v>27</v>
      </c>
      <c r="N30" s="3" t="n">
        <v>14.497</v>
      </c>
      <c r="O30" s="3" t="n">
        <v>37.4135</v>
      </c>
      <c r="P30" s="3" t="n">
        <v>36.8306</v>
      </c>
      <c r="Q30" s="3" t="s">
        <v>122</v>
      </c>
      <c r="R30" s="2" t="s">
        <v>84</v>
      </c>
      <c r="S30" s="2" t="s">
        <v>119</v>
      </c>
      <c r="T30" s="4" t="n">
        <f aca="false">DATE(VALUE(MID(C30,7,4)),VALUE(MID(C30,4,2)),VALUE(MID(C30,1,2)))+TIME(VALUE(MID(C30,12,2)),VALUE(MID(C30,15,2)),0)</f>
        <v>44963.0611111111</v>
      </c>
      <c r="U30" s="2" t="str">
        <f aca="false">IF(AND(ISNUMBER(VALUE(MID(A30,7,1))),ISNUMBER(SEARCH("km",A30)),ISNUMBER(SEARCH("of",A30))),"Distance-location","Named-region")</f>
        <v>Named-region</v>
      </c>
      <c r="V30" s="2" t="str">
        <f aca="false">LOWER(M30)</f>
        <v>mww</v>
      </c>
      <c r="W30" s="5" t="str">
        <f aca="false">IF(COUNTIFS($A$2:$A$1001,A30,$C$2:$C$1001,C30)&gt;1,"Duplicate","Unique")</f>
        <v>Unique</v>
      </c>
    </row>
    <row r="31" customFormat="false" ht="15" hidden="false" customHeight="false" outlineLevel="0" collapsed="false">
      <c r="A31" s="2" t="s">
        <v>123</v>
      </c>
      <c r="B31" s="3" t="n">
        <v>7.8</v>
      </c>
      <c r="C31" s="2" t="s">
        <v>124</v>
      </c>
      <c r="D31" s="2" t="n">
        <v>9</v>
      </c>
      <c r="E31" s="2" t="n">
        <v>9</v>
      </c>
      <c r="F31" s="2" t="s">
        <v>125</v>
      </c>
      <c r="G31" s="2" t="n">
        <v>0</v>
      </c>
      <c r="H31" s="2" t="n">
        <v>2910</v>
      </c>
      <c r="I31" s="2" t="s">
        <v>26</v>
      </c>
      <c r="J31" s="2" t="n">
        <v>118</v>
      </c>
      <c r="K31" s="2" t="n">
        <v>1.919</v>
      </c>
      <c r="L31" s="2" t="n">
        <v>32</v>
      </c>
      <c r="M31" s="2" t="s">
        <v>27</v>
      </c>
      <c r="N31" s="3" t="n">
        <v>17.925</v>
      </c>
      <c r="O31" s="3" t="n">
        <v>37.2012</v>
      </c>
      <c r="P31" s="3" t="n">
        <v>36.9997</v>
      </c>
      <c r="Q31" s="3" t="s">
        <v>126</v>
      </c>
      <c r="R31" s="2" t="s">
        <v>84</v>
      </c>
      <c r="S31" s="2" t="s">
        <v>119</v>
      </c>
      <c r="T31" s="4" t="n">
        <f aca="false">DATE(VALUE(MID(C31,7,4)),VALUE(MID(C31,4,2)),VALUE(MID(C31,1,2)))+TIME(VALUE(MID(C31,12,2)),VALUE(MID(C31,15,2)),0)</f>
        <v>44963.0534722222</v>
      </c>
      <c r="U31" s="2" t="str">
        <f aca="false">IF(AND(ISNUMBER(VALUE(MID(A31,7,1))),ISNUMBER(SEARCH("km",A31)),ISNUMBER(SEARCH("of",A31))),"Distance-location","Named-region")</f>
        <v>Named-region</v>
      </c>
      <c r="V31" s="2" t="str">
        <f aca="false">LOWER(M31)</f>
        <v>mww</v>
      </c>
      <c r="W31" s="5" t="str">
        <f aca="false">IF(COUNTIFS($A$2:$A$1001,A31,$C$2:$C$1001,C31)&gt;1,"Duplicate","Unique")</f>
        <v>Unique</v>
      </c>
    </row>
    <row r="32" customFormat="false" ht="15" hidden="false" customHeight="false" outlineLevel="0" collapsed="false">
      <c r="A32" s="2" t="s">
        <v>127</v>
      </c>
      <c r="B32" s="3" t="n">
        <v>6.8</v>
      </c>
      <c r="C32" s="2" t="s">
        <v>128</v>
      </c>
      <c r="D32" s="2" t="n">
        <v>4</v>
      </c>
      <c r="E32" s="2" t="n">
        <v>3</v>
      </c>
      <c r="F32" s="2" t="s">
        <v>25</v>
      </c>
      <c r="G32" s="2" t="n">
        <v>0</v>
      </c>
      <c r="H32" s="2" t="n">
        <v>718</v>
      </c>
      <c r="I32" s="2" t="s">
        <v>26</v>
      </c>
      <c r="J32" s="2" t="n">
        <v>60</v>
      </c>
      <c r="K32" s="2" t="n">
        <v>5.129</v>
      </c>
      <c r="L32" s="2" t="n">
        <v>61</v>
      </c>
      <c r="M32" s="2" t="s">
        <v>27</v>
      </c>
      <c r="N32" s="3" t="n">
        <v>610.671</v>
      </c>
      <c r="O32" s="3" t="n">
        <v>-26.7209</v>
      </c>
      <c r="P32" s="3" t="n">
        <v>-63.0394</v>
      </c>
      <c r="Q32" s="3"/>
      <c r="R32" s="2" t="s">
        <v>37</v>
      </c>
      <c r="S32" s="2" t="s">
        <v>38</v>
      </c>
      <c r="T32" s="4" t="n">
        <f aca="false">DATE(VALUE(MID(C32,7,4)),VALUE(MID(C32,4,2)),VALUE(MID(C32,1,2)))+TIME(VALUE(MID(C32,12,2)),VALUE(MID(C32,15,2)),0)</f>
        <v>44946.9229166667</v>
      </c>
      <c r="U32" s="2" t="str">
        <f aca="false">IF(AND(ISNUMBER(VALUE(MID(A32,7,1))),ISNUMBER(SEARCH("km",A32)),ISNUMBER(SEARCH("of",A32))),"Distance-location","Named-region")</f>
        <v>Named-region</v>
      </c>
      <c r="V32" s="2" t="str">
        <f aca="false">LOWER(M32)</f>
        <v>mww</v>
      </c>
      <c r="W32" s="5" t="str">
        <f aca="false">IF(COUNTIFS($A$2:$A$1001,A32,$C$2:$C$1001,C32)&gt;1,"Duplicate","Unique")</f>
        <v>Unique</v>
      </c>
    </row>
    <row r="33" customFormat="false" ht="15" hidden="false" customHeight="false" outlineLevel="0" collapsed="false">
      <c r="A33" s="2" t="s">
        <v>129</v>
      </c>
      <c r="B33" s="3" t="n">
        <v>7</v>
      </c>
      <c r="C33" s="2" t="s">
        <v>130</v>
      </c>
      <c r="D33" s="2" t="n">
        <v>3</v>
      </c>
      <c r="E33" s="2" t="n">
        <v>5</v>
      </c>
      <c r="F33" s="2" t="s">
        <v>25</v>
      </c>
      <c r="G33" s="2" t="n">
        <v>1</v>
      </c>
      <c r="H33" s="2" t="n">
        <v>756</v>
      </c>
      <c r="I33" s="2" t="s">
        <v>26</v>
      </c>
      <c r="J33" s="2" t="n">
        <v>130</v>
      </c>
      <c r="K33" s="2" t="n">
        <v>1.974</v>
      </c>
      <c r="L33" s="2" t="n">
        <v>17</v>
      </c>
      <c r="M33" s="2" t="s">
        <v>131</v>
      </c>
      <c r="N33" s="3" t="n">
        <v>28.566</v>
      </c>
      <c r="O33" s="3" t="n">
        <v>2.7401</v>
      </c>
      <c r="P33" s="3" t="n">
        <v>127.051</v>
      </c>
      <c r="Q33" s="3" t="s">
        <v>132</v>
      </c>
      <c r="R33" s="2"/>
      <c r="S33" s="2" t="s">
        <v>72</v>
      </c>
      <c r="T33" s="4" t="n">
        <f aca="false">DATE(VALUE(MID(C33,7,4)),VALUE(MID(C33,4,2)),VALUE(MID(C33,1,2)))+TIME(VALUE(MID(C33,12,2)),VALUE(MID(C33,15,2)),0)</f>
        <v>44944.2541666667</v>
      </c>
      <c r="U33" s="2" t="str">
        <f aca="false">IF(AND(ISNUMBER(VALUE(MID(A33,7,1))),ISNUMBER(SEARCH("km",A33)),ISNUMBER(SEARCH("of",A33))),"Distance-location","Named-region")</f>
        <v>Named-region</v>
      </c>
      <c r="V33" s="2" t="str">
        <f aca="false">LOWER(M33)</f>
        <v>mwc</v>
      </c>
      <c r="W33" s="5" t="str">
        <f aca="false">IF(COUNTIFS($A$2:$A$1001,A33,$C$2:$C$1001,C33)&gt;1,"Duplicate","Unique")</f>
        <v>Unique</v>
      </c>
    </row>
    <row r="34" customFormat="false" ht="15" hidden="false" customHeight="false" outlineLevel="0" collapsed="false">
      <c r="A34" s="2" t="s">
        <v>133</v>
      </c>
      <c r="B34" s="3" t="n">
        <v>7.6</v>
      </c>
      <c r="C34" s="2" t="s">
        <v>134</v>
      </c>
      <c r="D34" s="2" t="n">
        <v>5</v>
      </c>
      <c r="E34" s="2" t="n">
        <v>7</v>
      </c>
      <c r="F34" s="2" t="s">
        <v>25</v>
      </c>
      <c r="G34" s="2" t="n">
        <v>0</v>
      </c>
      <c r="H34" s="2" t="n">
        <v>957</v>
      </c>
      <c r="I34" s="2" t="s">
        <v>26</v>
      </c>
      <c r="J34" s="2" t="n">
        <v>114</v>
      </c>
      <c r="K34" s="2" t="n">
        <v>1.575</v>
      </c>
      <c r="L34" s="2" t="n">
        <v>21</v>
      </c>
      <c r="M34" s="2" t="s">
        <v>27</v>
      </c>
      <c r="N34" s="3" t="n">
        <v>105.249</v>
      </c>
      <c r="O34" s="3" t="n">
        <v>-7.0852</v>
      </c>
      <c r="P34" s="3" t="n">
        <v>130.039</v>
      </c>
      <c r="Q34" s="3" t="s">
        <v>135</v>
      </c>
      <c r="R34" s="2"/>
      <c r="S34" s="2" t="s">
        <v>72</v>
      </c>
      <c r="T34" s="4" t="n">
        <f aca="false">DATE(VALUE(MID(C34,7,4)),VALUE(MID(C34,4,2)),VALUE(MID(C34,1,2)))+TIME(VALUE(MID(C34,12,2)),VALUE(MID(C34,15,2)),0)</f>
        <v>44935.7409722222</v>
      </c>
      <c r="U34" s="2" t="str">
        <f aca="false">IF(AND(ISNUMBER(VALUE(MID(A34,7,1))),ISNUMBER(SEARCH("km",A34)),ISNUMBER(SEARCH("of",A34))),"Distance-location","Named-region")</f>
        <v>Named-region</v>
      </c>
      <c r="V34" s="2" t="str">
        <f aca="false">LOWER(M34)</f>
        <v>mww</v>
      </c>
      <c r="W34" s="5" t="str">
        <f aca="false">IF(COUNTIFS($A$2:$A$1001,A34,$C$2:$C$1001,C34)&gt;1,"Duplicate","Unique")</f>
        <v>Unique</v>
      </c>
    </row>
    <row r="35" customFormat="false" ht="15" hidden="false" customHeight="false" outlineLevel="0" collapsed="false">
      <c r="A35" s="2" t="s">
        <v>136</v>
      </c>
      <c r="B35" s="3" t="n">
        <v>7</v>
      </c>
      <c r="C35" s="2" t="s">
        <v>137</v>
      </c>
      <c r="D35" s="2" t="n">
        <v>8</v>
      </c>
      <c r="E35" s="2" t="n">
        <v>7</v>
      </c>
      <c r="F35" s="2" t="s">
        <v>25</v>
      </c>
      <c r="G35" s="2" t="n">
        <v>1</v>
      </c>
      <c r="H35" s="2" t="n">
        <v>768</v>
      </c>
      <c r="I35" s="2" t="s">
        <v>26</v>
      </c>
      <c r="J35" s="2" t="n">
        <v>116</v>
      </c>
      <c r="K35" s="2" t="n">
        <v>6.096</v>
      </c>
      <c r="L35" s="2" t="n">
        <v>36</v>
      </c>
      <c r="M35" s="2" t="s">
        <v>27</v>
      </c>
      <c r="N35" s="3" t="n">
        <v>29</v>
      </c>
      <c r="O35" s="3" t="n">
        <v>-14.9383</v>
      </c>
      <c r="P35" s="3" t="n">
        <v>166.878</v>
      </c>
      <c r="Q35" s="3" t="s">
        <v>29</v>
      </c>
      <c r="R35" s="2"/>
      <c r="S35" s="2" t="s">
        <v>29</v>
      </c>
      <c r="T35" s="4" t="n">
        <f aca="false">DATE(VALUE(MID(C35,7,4)),VALUE(MID(C35,4,2)),VALUE(MID(C35,1,2)))+TIME(VALUE(MID(C35,12,2)),VALUE(MID(C35,15,2)),0)</f>
        <v>44934.5222222222</v>
      </c>
      <c r="U35" s="2" t="str">
        <f aca="false">IF(AND(ISNUMBER(VALUE(MID(A35,7,1))),ISNUMBER(SEARCH("km",A35)),ISNUMBER(SEARCH("of",A35))),"Distance-location","Named-region")</f>
        <v>Named-region</v>
      </c>
      <c r="V35" s="2" t="str">
        <f aca="false">LOWER(M35)</f>
        <v>mww</v>
      </c>
      <c r="W35" s="5" t="str">
        <f aca="false">IF(COUNTIFS($A$2:$A$1001,A35,$C$2:$C$1001,C35)&gt;1,"Duplicate","Unique")</f>
        <v>Unique</v>
      </c>
    </row>
    <row r="36" customFormat="false" ht="15" hidden="false" customHeight="false" outlineLevel="0" collapsed="false">
      <c r="A36" s="2" t="s">
        <v>138</v>
      </c>
      <c r="B36" s="3" t="n">
        <v>6.8</v>
      </c>
      <c r="C36" s="2" t="s">
        <v>139</v>
      </c>
      <c r="D36" s="2" t="n">
        <v>5</v>
      </c>
      <c r="E36" s="2" t="n">
        <v>5</v>
      </c>
      <c r="F36" s="2" t="s">
        <v>25</v>
      </c>
      <c r="G36" s="2" t="n">
        <v>1</v>
      </c>
      <c r="H36" s="2" t="n">
        <v>720</v>
      </c>
      <c r="I36" s="2" t="s">
        <v>26</v>
      </c>
      <c r="J36" s="2" t="n">
        <v>152</v>
      </c>
      <c r="K36" s="2" t="n">
        <v>2.587</v>
      </c>
      <c r="L36" s="2" t="n">
        <v>26</v>
      </c>
      <c r="M36" s="2" t="s">
        <v>27</v>
      </c>
      <c r="N36" s="3" t="n">
        <v>38</v>
      </c>
      <c r="O36" s="3" t="n">
        <v>-15.3983</v>
      </c>
      <c r="P36" s="3" t="n">
        <v>-172.968</v>
      </c>
      <c r="Q36" s="3" t="s">
        <v>66</v>
      </c>
      <c r="R36" s="2"/>
      <c r="S36" s="2"/>
      <c r="T36" s="4" t="n">
        <f aca="false">DATE(VALUE(MID(C36,7,4)),VALUE(MID(C36,4,2)),VALUE(MID(C36,1,2)))+TIME(VALUE(MID(C36,12,2)),VALUE(MID(C36,15,2)),0)</f>
        <v>44899.8083333333</v>
      </c>
      <c r="U36" s="2" t="str">
        <f aca="false">IF(AND(ISNUMBER(VALUE(MID(A36,7,1))),ISNUMBER(SEARCH("km",A36)),ISNUMBER(SEARCH("of",A36))),"Distance-location","Named-region")</f>
        <v>Named-region</v>
      </c>
      <c r="V36" s="2" t="str">
        <f aca="false">LOWER(M36)</f>
        <v>mww</v>
      </c>
      <c r="W36" s="5" t="str">
        <f aca="false">IF(COUNTIFS($A$2:$A$1001,A36,$C$2:$C$1001,C36)&gt;1,"Duplicate","Unique")</f>
        <v>Unique</v>
      </c>
    </row>
    <row r="37" customFormat="false" ht="15" hidden="false" customHeight="false" outlineLevel="0" collapsed="false">
      <c r="A37" s="2" t="s">
        <v>140</v>
      </c>
      <c r="B37" s="3" t="n">
        <v>7</v>
      </c>
      <c r="C37" s="2" t="s">
        <v>141</v>
      </c>
      <c r="D37" s="2" t="n">
        <v>8</v>
      </c>
      <c r="E37" s="2" t="n">
        <v>7</v>
      </c>
      <c r="F37" s="2" t="s">
        <v>25</v>
      </c>
      <c r="G37" s="2" t="n">
        <v>1</v>
      </c>
      <c r="H37" s="2" t="n">
        <v>768</v>
      </c>
      <c r="I37" s="2" t="s">
        <v>26</v>
      </c>
      <c r="J37" s="2" t="n">
        <v>117</v>
      </c>
      <c r="K37" s="2" t="n">
        <v>0.509</v>
      </c>
      <c r="L37" s="2" t="n">
        <v>17</v>
      </c>
      <c r="M37" s="2" t="s">
        <v>27</v>
      </c>
      <c r="N37" s="3" t="n">
        <v>14</v>
      </c>
      <c r="O37" s="3" t="n">
        <v>-9.7963</v>
      </c>
      <c r="P37" s="3" t="n">
        <v>159.596</v>
      </c>
      <c r="Q37" s="3" t="s">
        <v>142</v>
      </c>
      <c r="R37" s="2" t="s">
        <v>143</v>
      </c>
      <c r="S37" s="2" t="s">
        <v>144</v>
      </c>
      <c r="T37" s="4" t="n">
        <f aca="false">DATE(VALUE(MID(C37,7,4)),VALUE(MID(C37,4,2)),VALUE(MID(C37,1,2)))+TIME(VALUE(MID(C37,12,2)),VALUE(MID(C37,15,2)),0)</f>
        <v>44887.0854166667</v>
      </c>
      <c r="U37" s="2" t="str">
        <f aca="false">IF(AND(ISNUMBER(VALUE(MID(A37,7,1))),ISNUMBER(SEARCH("km",A37)),ISNUMBER(SEARCH("of",A37))),"Distance-location","Named-region")</f>
        <v>Named-region</v>
      </c>
      <c r="V37" s="2" t="str">
        <f aca="false">LOWER(M37)</f>
        <v>mww</v>
      </c>
      <c r="W37" s="5" t="str">
        <f aca="false">IF(COUNTIFS($A$2:$A$1001,A37,$C$2:$C$1001,C37)&gt;1,"Duplicate","Unique")</f>
        <v>Unique</v>
      </c>
    </row>
    <row r="38" customFormat="false" ht="15" hidden="false" customHeight="false" outlineLevel="0" collapsed="false">
      <c r="A38" s="2" t="s">
        <v>145</v>
      </c>
      <c r="B38" s="3" t="n">
        <v>6.9</v>
      </c>
      <c r="C38" s="2" t="s">
        <v>146</v>
      </c>
      <c r="D38" s="2" t="n">
        <v>4</v>
      </c>
      <c r="E38" s="2" t="n">
        <v>4</v>
      </c>
      <c r="F38" s="2" t="s">
        <v>25</v>
      </c>
      <c r="G38" s="2" t="n">
        <v>0</v>
      </c>
      <c r="H38" s="2" t="n">
        <v>735</v>
      </c>
      <c r="I38" s="2" t="s">
        <v>26</v>
      </c>
      <c r="J38" s="2" t="n">
        <v>99</v>
      </c>
      <c r="K38" s="2" t="n">
        <v>2.229</v>
      </c>
      <c r="L38" s="2" t="n">
        <v>34</v>
      </c>
      <c r="M38" s="2" t="s">
        <v>27</v>
      </c>
      <c r="N38" s="3" t="n">
        <v>25</v>
      </c>
      <c r="O38" s="3" t="n">
        <v>-4.9559</v>
      </c>
      <c r="P38" s="3" t="n">
        <v>100.738</v>
      </c>
      <c r="Q38" s="3" t="s">
        <v>147</v>
      </c>
      <c r="R38" s="2"/>
      <c r="S38" s="2"/>
      <c r="T38" s="4" t="n">
        <f aca="false">DATE(VALUE(MID(C38,7,4)),VALUE(MID(C38,4,2)),VALUE(MID(C38,1,2)))+TIME(VALUE(MID(C38,12,2)),VALUE(MID(C38,15,2)),0)</f>
        <v>44883.5673611111</v>
      </c>
      <c r="U38" s="2" t="str">
        <f aca="false">IF(AND(ISNUMBER(VALUE(MID(A38,7,1))),ISNUMBER(SEARCH("km",A38)),ISNUMBER(SEARCH("of",A38))),"Distance-location","Named-region")</f>
        <v>Named-region</v>
      </c>
      <c r="V38" s="2" t="str">
        <f aca="false">LOWER(M38)</f>
        <v>mww</v>
      </c>
      <c r="W38" s="5" t="str">
        <f aca="false">IF(COUNTIFS($A$2:$A$1001,A38,$C$2:$C$1001,C38)&gt;1,"Duplicate","Unique")</f>
        <v>Unique</v>
      </c>
    </row>
    <row r="39" customFormat="false" ht="15" hidden="false" customHeight="false" outlineLevel="0" collapsed="false">
      <c r="A39" s="2" t="s">
        <v>148</v>
      </c>
      <c r="B39" s="3" t="n">
        <v>7</v>
      </c>
      <c r="C39" s="2" t="s">
        <v>149</v>
      </c>
      <c r="D39" s="2" t="n">
        <v>3</v>
      </c>
      <c r="E39" s="2" t="n">
        <v>3</v>
      </c>
      <c r="F39" s="2" t="s">
        <v>25</v>
      </c>
      <c r="G39" s="2" t="n">
        <v>1</v>
      </c>
      <c r="H39" s="2" t="n">
        <v>755</v>
      </c>
      <c r="I39" s="2" t="s">
        <v>26</v>
      </c>
      <c r="J39" s="2" t="n">
        <v>147</v>
      </c>
      <c r="K39" s="2" t="n">
        <v>3.125</v>
      </c>
      <c r="L39" s="2" t="n">
        <v>18</v>
      </c>
      <c r="M39" s="2" t="s">
        <v>27</v>
      </c>
      <c r="N39" s="3" t="n">
        <v>579</v>
      </c>
      <c r="O39" s="3" t="n">
        <v>-20.0508</v>
      </c>
      <c r="P39" s="3" t="n">
        <v>-178.346</v>
      </c>
      <c r="Q39" s="3"/>
      <c r="R39" s="2" t="s">
        <v>143</v>
      </c>
      <c r="S39" s="2" t="s">
        <v>150</v>
      </c>
      <c r="T39" s="4" t="n">
        <f aca="false">DATE(VALUE(MID(C39,7,4)),VALUE(MID(C39,4,2)),VALUE(MID(C39,1,2)))+TIME(VALUE(MID(C39,12,2)),VALUE(MID(C39,15,2)),0)</f>
        <v>44877.2979166667</v>
      </c>
      <c r="U39" s="2" t="str">
        <f aca="false">IF(AND(ISNUMBER(VALUE(MID(A39,7,1))),ISNUMBER(SEARCH("km",A39)),ISNUMBER(SEARCH("of",A39))),"Distance-location","Named-region")</f>
        <v>Named-region</v>
      </c>
      <c r="V39" s="2" t="str">
        <f aca="false">LOWER(M39)</f>
        <v>mww</v>
      </c>
      <c r="W39" s="5" t="str">
        <f aca="false">IF(COUNTIFS($A$2:$A$1001,A39,$C$2:$C$1001,C39)&gt;1,"Duplicate","Unique")</f>
        <v>Unique</v>
      </c>
    </row>
    <row r="40" customFormat="false" ht="15" hidden="false" customHeight="false" outlineLevel="0" collapsed="false">
      <c r="A40" s="2" t="s">
        <v>151</v>
      </c>
      <c r="B40" s="3" t="n">
        <v>7.3</v>
      </c>
      <c r="C40" s="2" t="s">
        <v>152</v>
      </c>
      <c r="D40" s="2" t="n">
        <v>5</v>
      </c>
      <c r="E40" s="2" t="n">
        <v>5</v>
      </c>
      <c r="F40" s="2" t="s">
        <v>25</v>
      </c>
      <c r="G40" s="2" t="n">
        <v>1</v>
      </c>
      <c r="H40" s="2" t="n">
        <v>833</v>
      </c>
      <c r="I40" s="2" t="s">
        <v>26</v>
      </c>
      <c r="J40" s="2" t="n">
        <v>149</v>
      </c>
      <c r="K40" s="2" t="n">
        <v>1.865</v>
      </c>
      <c r="L40" s="2" t="n">
        <v>21</v>
      </c>
      <c r="M40" s="2" t="s">
        <v>27</v>
      </c>
      <c r="N40" s="3" t="n">
        <v>37</v>
      </c>
      <c r="O40" s="3" t="n">
        <v>-19.2918</v>
      </c>
      <c r="P40" s="3" t="n">
        <v>-172.129</v>
      </c>
      <c r="Q40" s="3" t="s">
        <v>153</v>
      </c>
      <c r="R40" s="2"/>
      <c r="S40" s="2"/>
      <c r="T40" s="4" t="n">
        <f aca="false">DATE(VALUE(MID(C40,7,4)),VALUE(MID(C40,4,2)),VALUE(MID(C40,1,2)))+TIME(VALUE(MID(C40,12,2)),VALUE(MID(C40,15,2)),0)</f>
        <v>44876.45</v>
      </c>
      <c r="U40" s="2" t="str">
        <f aca="false">IF(AND(ISNUMBER(VALUE(MID(A40,7,1))),ISNUMBER(SEARCH("km",A40)),ISNUMBER(SEARCH("of",A40))),"Distance-location","Named-region")</f>
        <v>Named-region</v>
      </c>
      <c r="V40" s="2" t="str">
        <f aca="false">LOWER(M40)</f>
        <v>mww</v>
      </c>
      <c r="W40" s="5" t="str">
        <f aca="false">IF(COUNTIFS($A$2:$A$1001,A40,$C$2:$C$1001,C40)&gt;1,"Duplicate","Unique")</f>
        <v>Unique</v>
      </c>
    </row>
    <row r="41" customFormat="false" ht="15" hidden="false" customHeight="false" outlineLevel="0" collapsed="false">
      <c r="A41" s="2" t="s">
        <v>154</v>
      </c>
      <c r="B41" s="3" t="n">
        <v>6.6</v>
      </c>
      <c r="C41" s="2" t="s">
        <v>155</v>
      </c>
      <c r="D41" s="2" t="n">
        <v>0</v>
      </c>
      <c r="E41" s="2" t="n">
        <v>2</v>
      </c>
      <c r="F41" s="2" t="s">
        <v>25</v>
      </c>
      <c r="G41" s="2" t="n">
        <v>1</v>
      </c>
      <c r="H41" s="2" t="n">
        <v>670</v>
      </c>
      <c r="I41" s="2" t="s">
        <v>26</v>
      </c>
      <c r="J41" s="2" t="n">
        <v>131</v>
      </c>
      <c r="K41" s="2" t="n">
        <v>4.998</v>
      </c>
      <c r="L41" s="2" t="n">
        <v>27</v>
      </c>
      <c r="M41" s="2" t="s">
        <v>27</v>
      </c>
      <c r="N41" s="3" t="n">
        <v>624.464</v>
      </c>
      <c r="O41" s="3" t="n">
        <v>-25.5948</v>
      </c>
      <c r="P41" s="3" t="n">
        <v>178.278</v>
      </c>
      <c r="Q41" s="3"/>
      <c r="R41" s="2"/>
      <c r="S41" s="2"/>
      <c r="T41" s="4" t="n">
        <f aca="false">DATE(VALUE(MID(C41,7,4)),VALUE(MID(C41,4,2)),VALUE(MID(C41,1,2)))+TIME(VALUE(MID(C41,12,2)),VALUE(MID(C41,15,2)),0)</f>
        <v>44874.4263888889</v>
      </c>
      <c r="U41" s="2" t="str">
        <f aca="false">IF(AND(ISNUMBER(VALUE(MID(A41,7,1))),ISNUMBER(SEARCH("km",A41)),ISNUMBER(SEARCH("of",A41))),"Distance-location","Named-region")</f>
        <v>Named-region</v>
      </c>
      <c r="V41" s="2" t="str">
        <f aca="false">LOWER(M41)</f>
        <v>mww</v>
      </c>
      <c r="W41" s="5" t="str">
        <f aca="false">IF(COUNTIFS($A$2:$A$1001,A41,$C$2:$C$1001,C41)&gt;1,"Duplicate","Unique")</f>
        <v>Unique</v>
      </c>
    </row>
    <row r="42" customFormat="false" ht="15" hidden="false" customHeight="false" outlineLevel="0" collapsed="false">
      <c r="A42" s="2" t="s">
        <v>156</v>
      </c>
      <c r="B42" s="3" t="n">
        <v>7</v>
      </c>
      <c r="C42" s="2" t="s">
        <v>157</v>
      </c>
      <c r="D42" s="2" t="n">
        <v>4</v>
      </c>
      <c r="E42" s="2" t="n">
        <v>3</v>
      </c>
      <c r="F42" s="2" t="s">
        <v>25</v>
      </c>
      <c r="G42" s="2" t="n">
        <v>1</v>
      </c>
      <c r="H42" s="2" t="n">
        <v>755</v>
      </c>
      <c r="I42" s="2" t="s">
        <v>26</v>
      </c>
      <c r="J42" s="2" t="n">
        <v>142</v>
      </c>
      <c r="K42" s="2" t="n">
        <v>4.578</v>
      </c>
      <c r="L42" s="2" t="n">
        <v>26</v>
      </c>
      <c r="M42" s="2" t="s">
        <v>158</v>
      </c>
      <c r="N42" s="3" t="n">
        <v>660</v>
      </c>
      <c r="O42" s="3" t="n">
        <v>-26.0442</v>
      </c>
      <c r="P42" s="3" t="n">
        <v>178.381</v>
      </c>
      <c r="Q42" s="3" t="s">
        <v>54</v>
      </c>
      <c r="R42" s="2"/>
      <c r="S42" s="2"/>
      <c r="T42" s="4" t="n">
        <f aca="false">DATE(VALUE(MID(C42,7,4)),VALUE(MID(C42,4,2)),VALUE(MID(C42,1,2)))+TIME(VALUE(MID(C42,12,2)),VALUE(MID(C42,15,2)),0)</f>
        <v>44874.4104166667</v>
      </c>
      <c r="U42" s="2" t="str">
        <f aca="false">IF(AND(ISNUMBER(VALUE(MID(A42,7,1))),ISNUMBER(SEARCH("km",A42)),ISNUMBER(SEARCH("of",A42))),"Distance-location","Named-region")</f>
        <v>Named-region</v>
      </c>
      <c r="V42" s="2" t="str">
        <f aca="false">LOWER(M42)</f>
        <v>mwb</v>
      </c>
      <c r="W42" s="5" t="str">
        <f aca="false">IF(COUNTIFS($A$2:$A$1001,A42,$C$2:$C$1001,C42)&gt;1,"Duplicate","Unique")</f>
        <v>Unique</v>
      </c>
    </row>
    <row r="43" customFormat="false" ht="15" hidden="false" customHeight="false" outlineLevel="0" collapsed="false">
      <c r="A43" s="2" t="s">
        <v>159</v>
      </c>
      <c r="B43" s="3" t="n">
        <v>6.8</v>
      </c>
      <c r="C43" s="2" t="s">
        <v>160</v>
      </c>
      <c r="D43" s="2" t="n">
        <v>1</v>
      </c>
      <c r="E43" s="2" t="n">
        <v>3</v>
      </c>
      <c r="F43" s="2" t="s">
        <v>25</v>
      </c>
      <c r="G43" s="2" t="n">
        <v>1</v>
      </c>
      <c r="H43" s="2" t="n">
        <v>711</v>
      </c>
      <c r="I43" s="2" t="s">
        <v>26</v>
      </c>
      <c r="J43" s="2" t="n">
        <v>136</v>
      </c>
      <c r="K43" s="2" t="n">
        <v>4.678</v>
      </c>
      <c r="L43" s="2" t="n">
        <v>22</v>
      </c>
      <c r="M43" s="2" t="s">
        <v>27</v>
      </c>
      <c r="N43" s="3" t="n">
        <v>630.379</v>
      </c>
      <c r="O43" s="3" t="n">
        <v>-25.9678</v>
      </c>
      <c r="P43" s="3" t="n">
        <v>178.363</v>
      </c>
      <c r="Q43" s="3" t="s">
        <v>54</v>
      </c>
      <c r="R43" s="2"/>
      <c r="S43" s="2"/>
      <c r="T43" s="4" t="n">
        <f aca="false">DATE(VALUE(MID(C43,7,4)),VALUE(MID(C43,4,2)),VALUE(MID(C43,1,2)))+TIME(VALUE(MID(C43,12,2)),VALUE(MID(C43,15,2)),0)</f>
        <v>44874.4013888889</v>
      </c>
      <c r="U43" s="2" t="str">
        <f aca="false">IF(AND(ISNUMBER(VALUE(MID(A43,7,1))),ISNUMBER(SEARCH("km",A43)),ISNUMBER(SEARCH("of",A43))),"Distance-location","Named-region")</f>
        <v>Named-region</v>
      </c>
      <c r="V43" s="2" t="str">
        <f aca="false">LOWER(M43)</f>
        <v>mww</v>
      </c>
      <c r="W43" s="5" t="str">
        <f aca="false">IF(COUNTIFS($A$2:$A$1001,A43,$C$2:$C$1001,C43)&gt;1,"Duplicate","Unique")</f>
        <v>Unique</v>
      </c>
    </row>
    <row r="44" customFormat="false" ht="15" hidden="false" customHeight="false" outlineLevel="0" collapsed="false">
      <c r="A44" s="2" t="s">
        <v>161</v>
      </c>
      <c r="B44" s="3" t="n">
        <v>6.7</v>
      </c>
      <c r="C44" s="2" t="s">
        <v>162</v>
      </c>
      <c r="D44" s="2" t="n">
        <v>7</v>
      </c>
      <c r="E44" s="2" t="n">
        <v>6</v>
      </c>
      <c r="F44" s="2" t="s">
        <v>25</v>
      </c>
      <c r="G44" s="2" t="n">
        <v>1</v>
      </c>
      <c r="H44" s="2" t="n">
        <v>797</v>
      </c>
      <c r="I44" s="2" t="s">
        <v>26</v>
      </c>
      <c r="J44" s="2" t="n">
        <v>145</v>
      </c>
      <c r="K44" s="2" t="n">
        <v>1.151</v>
      </c>
      <c r="L44" s="2" t="n">
        <v>37</v>
      </c>
      <c r="M44" s="2" t="s">
        <v>27</v>
      </c>
      <c r="N44" s="3" t="n">
        <v>20</v>
      </c>
      <c r="O44" s="3" t="n">
        <v>7.6712</v>
      </c>
      <c r="P44" s="3" t="n">
        <v>-82.3396</v>
      </c>
      <c r="Q44" s="3" t="s">
        <v>163</v>
      </c>
      <c r="R44" s="2"/>
      <c r="S44" s="2" t="s">
        <v>164</v>
      </c>
      <c r="T44" s="4" t="n">
        <f aca="false">DATE(VALUE(MID(C44,7,4)),VALUE(MID(C44,4,2)),VALUE(MID(C44,1,2)))+TIME(VALUE(MID(C44,12,2)),VALUE(MID(C44,15,2)),0)</f>
        <v>44854.4979166667</v>
      </c>
      <c r="U44" s="2" t="str">
        <f aca="false">IF(AND(ISNUMBER(VALUE(MID(A44,7,1))),ISNUMBER(SEARCH("km",A44)),ISNUMBER(SEARCH("of",A44))),"Distance-location","Named-region")</f>
        <v>Named-region</v>
      </c>
      <c r="V44" s="2" t="str">
        <f aca="false">LOWER(M44)</f>
        <v>mww</v>
      </c>
      <c r="W44" s="5" t="str">
        <f aca="false">IF(COUNTIFS($A$2:$A$1001,A44,$C$2:$C$1001,C44)&gt;1,"Duplicate","Unique")</f>
        <v>Unique</v>
      </c>
    </row>
    <row r="45" customFormat="false" ht="15" hidden="false" customHeight="false" outlineLevel="0" collapsed="false">
      <c r="A45" s="2" t="s">
        <v>165</v>
      </c>
      <c r="B45" s="3" t="n">
        <v>6.8</v>
      </c>
      <c r="C45" s="2" t="s">
        <v>166</v>
      </c>
      <c r="D45" s="2" t="n">
        <v>8</v>
      </c>
      <c r="E45" s="2" t="n">
        <v>7</v>
      </c>
      <c r="F45" s="2" t="s">
        <v>32</v>
      </c>
      <c r="G45" s="2" t="n">
        <v>1</v>
      </c>
      <c r="H45" s="2" t="n">
        <v>1179</v>
      </c>
      <c r="I45" s="2" t="s">
        <v>26</v>
      </c>
      <c r="J45" s="2" t="n">
        <v>175</v>
      </c>
      <c r="K45" s="2" t="n">
        <v>2.137</v>
      </c>
      <c r="L45" s="2" t="n">
        <v>92</v>
      </c>
      <c r="M45" s="2" t="s">
        <v>27</v>
      </c>
      <c r="N45" s="3" t="n">
        <v>20</v>
      </c>
      <c r="O45" s="3" t="n">
        <v>18.33</v>
      </c>
      <c r="P45" s="3" t="n">
        <v>-102.913</v>
      </c>
      <c r="Q45" s="3" t="s">
        <v>167</v>
      </c>
      <c r="R45" s="2" t="s">
        <v>168</v>
      </c>
      <c r="S45" s="2" t="s">
        <v>169</v>
      </c>
      <c r="T45" s="4" t="n">
        <f aca="false">DATE(VALUE(MID(C45,7,4)),VALUE(MID(C45,4,2)),VALUE(MID(C45,1,2)))+TIME(VALUE(MID(C45,12,2)),VALUE(MID(C45,15,2)),0)</f>
        <v>44826.2611111111</v>
      </c>
      <c r="U45" s="2" t="str">
        <f aca="false">IF(AND(ISNUMBER(VALUE(MID(A45,7,1))),ISNUMBER(SEARCH("km",A45)),ISNUMBER(SEARCH("of",A45))),"Distance-location","Named-region")</f>
        <v>Named-region</v>
      </c>
      <c r="V45" s="2" t="str">
        <f aca="false">LOWER(M45)</f>
        <v>mww</v>
      </c>
      <c r="W45" s="5" t="str">
        <f aca="false">IF(COUNTIFS($A$2:$A$1001,A45,$C$2:$C$1001,C45)&gt;1,"Duplicate","Unique")</f>
        <v>Unique</v>
      </c>
    </row>
    <row r="46" customFormat="false" ht="15" hidden="false" customHeight="false" outlineLevel="0" collapsed="false">
      <c r="A46" s="2" t="s">
        <v>170</v>
      </c>
      <c r="B46" s="3" t="n">
        <v>7.6</v>
      </c>
      <c r="C46" s="2" t="s">
        <v>171</v>
      </c>
      <c r="D46" s="2" t="n">
        <v>9</v>
      </c>
      <c r="E46" s="2" t="n">
        <v>8</v>
      </c>
      <c r="F46" s="2" t="s">
        <v>32</v>
      </c>
      <c r="G46" s="2" t="n">
        <v>1</v>
      </c>
      <c r="H46" s="2" t="n">
        <v>1799</v>
      </c>
      <c r="I46" s="2" t="s">
        <v>26</v>
      </c>
      <c r="J46" s="2" t="n">
        <v>271</v>
      </c>
      <c r="K46" s="2" t="n">
        <v>1.153</v>
      </c>
      <c r="L46" s="2" t="n">
        <v>69</v>
      </c>
      <c r="M46" s="2" t="s">
        <v>27</v>
      </c>
      <c r="N46" s="3" t="n">
        <v>26.943</v>
      </c>
      <c r="O46" s="3" t="n">
        <v>18.3667</v>
      </c>
      <c r="P46" s="3" t="n">
        <v>-103.252</v>
      </c>
      <c r="Q46" s="3" t="s">
        <v>167</v>
      </c>
      <c r="R46" s="2" t="s">
        <v>168</v>
      </c>
      <c r="S46" s="2" t="s">
        <v>169</v>
      </c>
      <c r="T46" s="4" t="n">
        <f aca="false">DATE(VALUE(MID(C46,7,4)),VALUE(MID(C46,4,2)),VALUE(MID(C46,1,2)))+TIME(VALUE(MID(C46,12,2)),VALUE(MID(C46,15,2)),0)</f>
        <v>44823.7534722222</v>
      </c>
      <c r="U46" s="2" t="str">
        <f aca="false">IF(AND(ISNUMBER(VALUE(MID(A46,7,1))),ISNUMBER(SEARCH("km",A46)),ISNUMBER(SEARCH("of",A46))),"Distance-location","Named-region")</f>
        <v>Named-region</v>
      </c>
      <c r="V46" s="2" t="str">
        <f aca="false">LOWER(M46)</f>
        <v>mww</v>
      </c>
      <c r="W46" s="5" t="str">
        <f aca="false">IF(COUNTIFS($A$2:$A$1001,A46,$C$2:$C$1001,C46)&gt;1,"Duplicate","Unique")</f>
        <v>Unique</v>
      </c>
    </row>
    <row r="47" customFormat="false" ht="15" hidden="false" customHeight="false" outlineLevel="0" collapsed="false">
      <c r="A47" s="2" t="s">
        <v>172</v>
      </c>
      <c r="B47" s="3" t="n">
        <v>6.9</v>
      </c>
      <c r="C47" s="2" t="s">
        <v>173</v>
      </c>
      <c r="D47" s="2" t="n">
        <v>9</v>
      </c>
      <c r="E47" s="2" t="n">
        <v>9</v>
      </c>
      <c r="F47" s="2" t="s">
        <v>32</v>
      </c>
      <c r="G47" s="2" t="n">
        <v>1</v>
      </c>
      <c r="H47" s="2" t="n">
        <v>887</v>
      </c>
      <c r="I47" s="2" t="s">
        <v>26</v>
      </c>
      <c r="J47" s="2" t="n">
        <v>215</v>
      </c>
      <c r="K47" s="2" t="n">
        <v>0.401</v>
      </c>
      <c r="L47" s="2" t="n">
        <v>34</v>
      </c>
      <c r="M47" s="2" t="s">
        <v>27</v>
      </c>
      <c r="N47" s="3" t="n">
        <v>10</v>
      </c>
      <c r="O47" s="3" t="n">
        <v>23.1444</v>
      </c>
      <c r="P47" s="3" t="n">
        <v>121.307</v>
      </c>
      <c r="Q47" s="3" t="s">
        <v>174</v>
      </c>
      <c r="R47" s="2" t="s">
        <v>84</v>
      </c>
      <c r="S47" s="2" t="s">
        <v>175</v>
      </c>
      <c r="T47" s="4" t="n">
        <f aca="false">DATE(VALUE(MID(C47,7,4)),VALUE(MID(C47,4,2)),VALUE(MID(C47,1,2)))+TIME(VALUE(MID(C47,12,2)),VALUE(MID(C47,15,2)),0)</f>
        <v>44822.2805555556</v>
      </c>
      <c r="U47" s="2" t="str">
        <f aca="false">IF(AND(ISNUMBER(VALUE(MID(A47,7,1))),ISNUMBER(SEARCH("km",A47)),ISNUMBER(SEARCH("of",A47))),"Distance-location","Named-region")</f>
        <v>Named-region</v>
      </c>
      <c r="V47" s="2" t="str">
        <f aca="false">LOWER(M47)</f>
        <v>mww</v>
      </c>
      <c r="W47" s="5" t="str">
        <f aca="false">IF(COUNTIFS($A$2:$A$1001,A47,$C$2:$C$1001,C47)&gt;1,"Duplicate","Unique")</f>
        <v>Unique</v>
      </c>
    </row>
    <row r="48" customFormat="false" ht="15" hidden="false" customHeight="false" outlineLevel="0" collapsed="false">
      <c r="A48" s="2" t="s">
        <v>176</v>
      </c>
      <c r="B48" s="3" t="n">
        <v>6.5</v>
      </c>
      <c r="C48" s="2" t="s">
        <v>177</v>
      </c>
      <c r="D48" s="2" t="n">
        <v>7</v>
      </c>
      <c r="E48" s="2" t="n">
        <v>7</v>
      </c>
      <c r="F48" s="2" t="s">
        <v>25</v>
      </c>
      <c r="G48" s="2" t="n">
        <v>1</v>
      </c>
      <c r="H48" s="2" t="n">
        <v>756</v>
      </c>
      <c r="I48" s="2" t="s">
        <v>26</v>
      </c>
      <c r="J48" s="2" t="n">
        <v>178</v>
      </c>
      <c r="K48" s="2" t="n">
        <v>0.43</v>
      </c>
      <c r="L48" s="2" t="n">
        <v>54</v>
      </c>
      <c r="M48" s="2" t="s">
        <v>27</v>
      </c>
      <c r="N48" s="3" t="n">
        <v>10</v>
      </c>
      <c r="O48" s="3" t="n">
        <v>23.029</v>
      </c>
      <c r="P48" s="3" t="n">
        <v>121.348</v>
      </c>
      <c r="Q48" s="3" t="s">
        <v>178</v>
      </c>
      <c r="R48" s="2" t="s">
        <v>84</v>
      </c>
      <c r="S48" s="2" t="s">
        <v>175</v>
      </c>
      <c r="T48" s="4" t="n">
        <f aca="false">DATE(VALUE(MID(C48,7,4)),VALUE(MID(C48,4,2)),VALUE(MID(C48,1,2)))+TIME(VALUE(MID(C48,12,2)),VALUE(MID(C48,15,2)),0)</f>
        <v>44821.5701388889</v>
      </c>
      <c r="U48" s="2" t="str">
        <f aca="false">IF(AND(ISNUMBER(VALUE(MID(A48,7,1))),ISNUMBER(SEARCH("km",A48)),ISNUMBER(SEARCH("of",A48))),"Distance-location","Named-region")</f>
        <v>Named-region</v>
      </c>
      <c r="V48" s="2" t="str">
        <f aca="false">LOWER(M48)</f>
        <v>mww</v>
      </c>
      <c r="W48" s="5" t="str">
        <f aca="false">IF(COUNTIFS($A$2:$A$1001,A48,$C$2:$C$1001,C48)&gt;1,"Duplicate","Unique")</f>
        <v>Unique</v>
      </c>
    </row>
    <row r="49" customFormat="false" ht="15" hidden="false" customHeight="false" outlineLevel="0" collapsed="false">
      <c r="A49" s="2" t="s">
        <v>179</v>
      </c>
      <c r="B49" s="3" t="n">
        <v>7</v>
      </c>
      <c r="C49" s="2" t="s">
        <v>180</v>
      </c>
      <c r="D49" s="2" t="n">
        <v>7</v>
      </c>
      <c r="E49" s="2" t="n">
        <v>5</v>
      </c>
      <c r="F49" s="2" t="s">
        <v>25</v>
      </c>
      <c r="G49" s="2" t="n">
        <v>1</v>
      </c>
      <c r="H49" s="2" t="n">
        <v>761</v>
      </c>
      <c r="I49" s="2" t="s">
        <v>26</v>
      </c>
      <c r="J49" s="2" t="n">
        <v>192</v>
      </c>
      <c r="K49" s="2" t="n">
        <v>2.977</v>
      </c>
      <c r="L49" s="2" t="n">
        <v>45</v>
      </c>
      <c r="M49" s="2" t="s">
        <v>27</v>
      </c>
      <c r="N49" s="3" t="n">
        <v>137</v>
      </c>
      <c r="O49" s="3" t="n">
        <v>-21.2077</v>
      </c>
      <c r="P49" s="3" t="n">
        <v>170.239</v>
      </c>
      <c r="Q49" s="3" t="s">
        <v>181</v>
      </c>
      <c r="R49" s="2"/>
      <c r="S49" s="2"/>
      <c r="T49" s="4" t="n">
        <f aca="false">DATE(VALUE(MID(C49,7,4)),VALUE(MID(C49,4,2)),VALUE(MID(C49,1,2)))+TIME(VALUE(MID(C49,12,2)),VALUE(MID(C49,15,2)),0)</f>
        <v>44818.4611111111</v>
      </c>
      <c r="U49" s="2" t="str">
        <f aca="false">IF(AND(ISNUMBER(VALUE(MID(A49,7,1))),ISNUMBER(SEARCH("km",A49)),ISNUMBER(SEARCH("of",A49))),"Distance-location","Named-region")</f>
        <v>Named-region</v>
      </c>
      <c r="V49" s="2" t="str">
        <f aca="false">LOWER(M49)</f>
        <v>mww</v>
      </c>
      <c r="W49" s="5" t="str">
        <f aca="false">IF(COUNTIFS($A$2:$A$1001,A49,$C$2:$C$1001,C49)&gt;1,"Duplicate","Unique")</f>
        <v>Unique</v>
      </c>
    </row>
    <row r="50" customFormat="false" ht="15" hidden="false" customHeight="false" outlineLevel="0" collapsed="false">
      <c r="A50" s="2" t="s">
        <v>182</v>
      </c>
      <c r="B50" s="3" t="n">
        <v>7.6</v>
      </c>
      <c r="C50" s="2" t="s">
        <v>183</v>
      </c>
      <c r="D50" s="2" t="n">
        <v>8</v>
      </c>
      <c r="E50" s="2" t="n">
        <v>8</v>
      </c>
      <c r="F50" s="2" t="s">
        <v>32</v>
      </c>
      <c r="G50" s="2" t="n">
        <v>1</v>
      </c>
      <c r="H50" s="2" t="n">
        <v>965</v>
      </c>
      <c r="I50" s="2" t="s">
        <v>26</v>
      </c>
      <c r="J50" s="2" t="n">
        <v>272</v>
      </c>
      <c r="K50" s="2" t="n">
        <v>3.158</v>
      </c>
      <c r="L50" s="2" t="n">
        <v>12</v>
      </c>
      <c r="M50" s="2" t="s">
        <v>27</v>
      </c>
      <c r="N50" s="3" t="n">
        <v>116</v>
      </c>
      <c r="O50" s="3" t="n">
        <v>-6.2237</v>
      </c>
      <c r="P50" s="3" t="n">
        <v>146.471</v>
      </c>
      <c r="Q50" s="3" t="s">
        <v>184</v>
      </c>
      <c r="R50" s="2" t="s">
        <v>143</v>
      </c>
      <c r="S50" s="2" t="s">
        <v>89</v>
      </c>
      <c r="T50" s="4" t="n">
        <f aca="false">DATE(VALUE(MID(C50,7,4)),VALUE(MID(C50,4,2)),VALUE(MID(C50,1,2)))+TIME(VALUE(MID(C50,12,2)),VALUE(MID(C50,15,2)),0)</f>
        <v>44814.9909722222</v>
      </c>
      <c r="U50" s="2" t="str">
        <f aca="false">IF(AND(ISNUMBER(VALUE(MID(A50,7,1))),ISNUMBER(SEARCH("km",A50)),ISNUMBER(SEARCH("of",A50))),"Distance-location","Named-region")</f>
        <v>Named-region</v>
      </c>
      <c r="V50" s="2" t="str">
        <f aca="false">LOWER(M50)</f>
        <v>mww</v>
      </c>
      <c r="W50" s="5" t="str">
        <f aca="false">IF(COUNTIFS($A$2:$A$1001,A50,$C$2:$C$1001,C50)&gt;1,"Duplicate","Unique")</f>
        <v>Unique</v>
      </c>
    </row>
    <row r="51" customFormat="false" ht="15" hidden="false" customHeight="false" outlineLevel="0" collapsed="false">
      <c r="A51" s="2" t="s">
        <v>185</v>
      </c>
      <c r="B51" s="3" t="n">
        <v>6.6</v>
      </c>
      <c r="C51" s="2" t="s">
        <v>186</v>
      </c>
      <c r="D51" s="2" t="n">
        <v>9</v>
      </c>
      <c r="E51" s="2" t="n">
        <v>8</v>
      </c>
      <c r="F51" s="2" t="s">
        <v>99</v>
      </c>
      <c r="G51" s="2" t="n">
        <v>0</v>
      </c>
      <c r="H51" s="2" t="n">
        <v>1043</v>
      </c>
      <c r="I51" s="2" t="s">
        <v>26</v>
      </c>
      <c r="J51" s="2" t="n">
        <v>141</v>
      </c>
      <c r="K51" s="2" t="n">
        <v>8.454</v>
      </c>
      <c r="L51" s="2" t="n">
        <v>34</v>
      </c>
      <c r="M51" s="2" t="s">
        <v>27</v>
      </c>
      <c r="N51" s="3" t="n">
        <v>12</v>
      </c>
      <c r="O51" s="3" t="n">
        <v>29.7263</v>
      </c>
      <c r="P51" s="3" t="n">
        <v>102.279</v>
      </c>
      <c r="Q51" s="3" t="s">
        <v>187</v>
      </c>
      <c r="R51" s="2" t="s">
        <v>84</v>
      </c>
      <c r="S51" s="2" t="s">
        <v>188</v>
      </c>
      <c r="T51" s="4" t="n">
        <f aca="false">DATE(VALUE(MID(C51,7,4)),VALUE(MID(C51,4,2)),VALUE(MID(C51,1,2)))+TIME(VALUE(MID(C51,12,2)),VALUE(MID(C51,15,2)),0)</f>
        <v>44809.2027777778</v>
      </c>
      <c r="U51" s="2" t="str">
        <f aca="false">IF(AND(ISNUMBER(VALUE(MID(A51,7,1))),ISNUMBER(SEARCH("km",A51)),ISNUMBER(SEARCH("of",A51))),"Distance-location","Named-region")</f>
        <v>Named-region</v>
      </c>
      <c r="V51" s="2" t="str">
        <f aca="false">LOWER(M51)</f>
        <v>mww</v>
      </c>
      <c r="W51" s="5" t="str">
        <f aca="false">IF(COUNTIFS($A$2:$A$1001,A51,$C$2:$C$1001,C51)&gt;1,"Duplicate","Unique")</f>
        <v>Unique</v>
      </c>
    </row>
    <row r="52" customFormat="false" ht="15" hidden="false" customHeight="false" outlineLevel="0" collapsed="false">
      <c r="A52" s="2" t="s">
        <v>189</v>
      </c>
      <c r="B52" s="3" t="n">
        <v>6.6</v>
      </c>
      <c r="C52" s="2" t="s">
        <v>190</v>
      </c>
      <c r="D52" s="2" t="n">
        <v>7</v>
      </c>
      <c r="E52" s="2" t="n">
        <v>6</v>
      </c>
      <c r="F52" s="2" t="s">
        <v>25</v>
      </c>
      <c r="G52" s="2" t="n">
        <v>1</v>
      </c>
      <c r="H52" s="2" t="n">
        <v>672</v>
      </c>
      <c r="I52" s="2" t="s">
        <v>26</v>
      </c>
      <c r="J52" s="2" t="n">
        <v>68</v>
      </c>
      <c r="K52" s="2" t="n">
        <v>5.293</v>
      </c>
      <c r="L52" s="2" t="n">
        <v>34</v>
      </c>
      <c r="M52" s="2" t="s">
        <v>27</v>
      </c>
      <c r="N52" s="3" t="n">
        <v>30</v>
      </c>
      <c r="O52" s="3" t="n">
        <v>-32.6922</v>
      </c>
      <c r="P52" s="3" t="n">
        <v>-178.959</v>
      </c>
      <c r="Q52" s="3" t="s">
        <v>191</v>
      </c>
      <c r="R52" s="2"/>
      <c r="S52" s="2"/>
      <c r="T52" s="4" t="n">
        <f aca="false">DATE(VALUE(MID(C52,7,4)),VALUE(MID(C52,4,2)),VALUE(MID(C52,1,2)))+TIME(VALUE(MID(C52,12,2)),VALUE(MID(C52,15,2)),0)</f>
        <v>44787.5722222222</v>
      </c>
      <c r="U52" s="2" t="str">
        <f aca="false">IF(AND(ISNUMBER(VALUE(MID(A52,7,1))),ISNUMBER(SEARCH("km",A52)),ISNUMBER(SEARCH("of",A52))),"Distance-location","Named-region")</f>
        <v>Named-region</v>
      </c>
      <c r="V52" s="2" t="str">
        <f aca="false">LOWER(M52)</f>
        <v>mww</v>
      </c>
      <c r="W52" s="5" t="str">
        <f aca="false">IF(COUNTIFS($A$2:$A$1001,A52,$C$2:$C$1001,C52)&gt;1,"Duplicate","Unique")</f>
        <v>Unique</v>
      </c>
    </row>
    <row r="53" customFormat="false" ht="15" hidden="false" customHeight="false" outlineLevel="0" collapsed="false">
      <c r="A53" s="2" t="s">
        <v>192</v>
      </c>
      <c r="B53" s="3" t="n">
        <v>7</v>
      </c>
      <c r="C53" s="2" t="s">
        <v>193</v>
      </c>
      <c r="D53" s="2" t="n">
        <v>9</v>
      </c>
      <c r="E53" s="2" t="n">
        <v>8</v>
      </c>
      <c r="F53" s="2" t="s">
        <v>32</v>
      </c>
      <c r="G53" s="2" t="n">
        <v>1</v>
      </c>
      <c r="H53" s="2" t="n">
        <v>1351</v>
      </c>
      <c r="I53" s="2" t="s">
        <v>26</v>
      </c>
      <c r="J53" s="2" t="n">
        <v>152</v>
      </c>
      <c r="K53" s="2" t="n">
        <v>5.276</v>
      </c>
      <c r="L53" s="2" t="n">
        <v>22</v>
      </c>
      <c r="M53" s="2" t="s">
        <v>27</v>
      </c>
      <c r="N53" s="3" t="n">
        <v>33.729</v>
      </c>
      <c r="O53" s="3" t="n">
        <v>17.5978</v>
      </c>
      <c r="P53" s="3" t="n">
        <v>120.809</v>
      </c>
      <c r="Q53" s="3" t="s">
        <v>194</v>
      </c>
      <c r="R53" s="2" t="s">
        <v>84</v>
      </c>
      <c r="S53" s="2" t="s">
        <v>195</v>
      </c>
      <c r="T53" s="4" t="n">
        <f aca="false">DATE(VALUE(MID(C53,7,4)),VALUE(MID(C53,4,2)),VALUE(MID(C53,1,2)))+TIME(VALUE(MID(C53,12,2)),VALUE(MID(C53,15,2)),0)</f>
        <v>44769.0298611111</v>
      </c>
      <c r="U53" s="2" t="str">
        <f aca="false">IF(AND(ISNUMBER(VALUE(MID(A53,7,1))),ISNUMBER(SEARCH("km",A53)),ISNUMBER(SEARCH("of",A53))),"Distance-location","Named-region")</f>
        <v>Named-region</v>
      </c>
      <c r="V53" s="2" t="str">
        <f aca="false">LOWER(M53)</f>
        <v>mww</v>
      </c>
      <c r="W53" s="5" t="str">
        <f aca="false">IF(COUNTIFS($A$2:$A$1001,A53,$C$2:$C$1001,C53)&gt;1,"Duplicate","Unique")</f>
        <v>Unique</v>
      </c>
    </row>
    <row r="54" customFormat="false" ht="15" hidden="false" customHeight="false" outlineLevel="0" collapsed="false">
      <c r="A54" s="2" t="s">
        <v>196</v>
      </c>
      <c r="B54" s="3" t="n">
        <v>6.5</v>
      </c>
      <c r="C54" s="2" t="s">
        <v>197</v>
      </c>
      <c r="D54" s="2" t="n">
        <v>3</v>
      </c>
      <c r="E54" s="2" t="n">
        <v>2</v>
      </c>
      <c r="F54" s="2" t="s">
        <v>25</v>
      </c>
      <c r="G54" s="2" t="n">
        <v>0</v>
      </c>
      <c r="H54" s="2" t="n">
        <v>653</v>
      </c>
      <c r="I54" s="2" t="s">
        <v>26</v>
      </c>
      <c r="J54" s="2" t="n">
        <v>236</v>
      </c>
      <c r="K54" s="2" t="n">
        <v>1.999</v>
      </c>
      <c r="L54" s="2" t="n">
        <v>31</v>
      </c>
      <c r="M54" s="2" t="s">
        <v>27</v>
      </c>
      <c r="N54" s="3" t="n">
        <v>622.73</v>
      </c>
      <c r="O54" s="3" t="n">
        <v>-9.0618</v>
      </c>
      <c r="P54" s="3" t="n">
        <v>-71.1647</v>
      </c>
      <c r="Q54" s="3" t="s">
        <v>198</v>
      </c>
      <c r="R54" s="2" t="s">
        <v>37</v>
      </c>
      <c r="S54" s="2" t="s">
        <v>199</v>
      </c>
      <c r="T54" s="4" t="n">
        <f aca="false">DATE(VALUE(MID(C54,7,4)),VALUE(MID(C54,4,2)),VALUE(MID(C54,1,2)))+TIME(VALUE(MID(C54,12,2)),VALUE(MID(C54,15,2)),0)</f>
        <v>44720.0381944444</v>
      </c>
      <c r="U54" s="2" t="str">
        <f aca="false">IF(AND(ISNUMBER(VALUE(MID(A54,7,1))),ISNUMBER(SEARCH("km",A54)),ISNUMBER(SEARCH("of",A54))),"Distance-location","Named-region")</f>
        <v>Named-region</v>
      </c>
      <c r="V54" s="2" t="str">
        <f aca="false">LOWER(M54)</f>
        <v>mww</v>
      </c>
      <c r="W54" s="5" t="str">
        <f aca="false">IF(COUNTIFS($A$2:$A$1001,A54,$C$2:$C$1001,C54)&gt;1,"Duplicate","Unique")</f>
        <v>Unique</v>
      </c>
    </row>
    <row r="55" customFormat="false" ht="15" hidden="false" customHeight="false" outlineLevel="0" collapsed="false">
      <c r="A55" s="2" t="s">
        <v>200</v>
      </c>
      <c r="B55" s="3" t="n">
        <v>7.2</v>
      </c>
      <c r="C55" s="2" t="s">
        <v>201</v>
      </c>
      <c r="D55" s="2" t="n">
        <v>7</v>
      </c>
      <c r="E55" s="2" t="n">
        <v>5</v>
      </c>
      <c r="F55" s="2" t="s">
        <v>25</v>
      </c>
      <c r="G55" s="2" t="n">
        <v>1</v>
      </c>
      <c r="H55" s="2" t="n">
        <v>876</v>
      </c>
      <c r="I55" s="2" t="s">
        <v>26</v>
      </c>
      <c r="J55" s="2" t="n">
        <v>144</v>
      </c>
      <c r="K55" s="2" t="n">
        <v>2.494</v>
      </c>
      <c r="L55" s="2" t="n">
        <v>40</v>
      </c>
      <c r="M55" s="2" t="s">
        <v>27</v>
      </c>
      <c r="N55" s="3" t="n">
        <v>236</v>
      </c>
      <c r="O55" s="3" t="n">
        <v>-14.8628</v>
      </c>
      <c r="P55" s="3" t="n">
        <v>-70.3081</v>
      </c>
      <c r="Q55" s="3" t="s">
        <v>202</v>
      </c>
      <c r="R55" s="2" t="s">
        <v>37</v>
      </c>
      <c r="S55" s="2" t="s">
        <v>203</v>
      </c>
      <c r="T55" s="4" t="n">
        <f aca="false">DATE(VALUE(MID(C55,7,4)),VALUE(MID(C55,4,2)),VALUE(MID(C55,1,2)))+TIME(VALUE(MID(C55,12,2)),VALUE(MID(C55,15,2)),0)</f>
        <v>44707.5013888889</v>
      </c>
      <c r="U55" s="2" t="str">
        <f aca="false">IF(AND(ISNUMBER(VALUE(MID(A55,7,1))),ISNUMBER(SEARCH("km",A55)),ISNUMBER(SEARCH("of",A55))),"Distance-location","Named-region")</f>
        <v>Named-region</v>
      </c>
      <c r="V55" s="2" t="str">
        <f aca="false">LOWER(M55)</f>
        <v>mww</v>
      </c>
      <c r="W55" s="5" t="str">
        <f aca="false">IF(COUNTIFS($A$2:$A$1001,A55,$C$2:$C$1001,C55)&gt;1,"Duplicate","Unique")</f>
        <v>Unique</v>
      </c>
    </row>
    <row r="56" customFormat="false" ht="15" hidden="false" customHeight="false" outlineLevel="0" collapsed="false">
      <c r="A56" s="2" t="s">
        <v>204</v>
      </c>
      <c r="B56" s="3" t="n">
        <v>6.9</v>
      </c>
      <c r="C56" s="2" t="s">
        <v>205</v>
      </c>
      <c r="D56" s="2" t="n">
        <v>2</v>
      </c>
      <c r="E56" s="2" t="n">
        <v>5</v>
      </c>
      <c r="F56" s="2" t="s">
        <v>25</v>
      </c>
      <c r="G56" s="2" t="n">
        <v>1</v>
      </c>
      <c r="H56" s="2" t="n">
        <v>733</v>
      </c>
      <c r="I56" s="2" t="s">
        <v>26</v>
      </c>
      <c r="J56" s="2" t="n">
        <v>127</v>
      </c>
      <c r="K56" s="2" t="n">
        <v>0.371</v>
      </c>
      <c r="L56" s="2" t="n">
        <v>45</v>
      </c>
      <c r="M56" s="2" t="s">
        <v>27</v>
      </c>
      <c r="N56" s="3" t="n">
        <v>10</v>
      </c>
      <c r="O56" s="3" t="n">
        <v>-54.1325</v>
      </c>
      <c r="P56" s="3" t="n">
        <v>159.027</v>
      </c>
      <c r="Q56" s="3"/>
      <c r="R56" s="2"/>
      <c r="S56" s="2"/>
      <c r="T56" s="4" t="n">
        <f aca="false">DATE(VALUE(MID(C56,7,4)),VALUE(MID(C56,4,2)),VALUE(MID(C56,1,2)))+TIME(VALUE(MID(C56,12,2)),VALUE(MID(C56,15,2)),0)</f>
        <v>44700.4256944444</v>
      </c>
      <c r="U56" s="2" t="str">
        <f aca="false">IF(AND(ISNUMBER(VALUE(MID(A56,7,1))),ISNUMBER(SEARCH("km",A56)),ISNUMBER(SEARCH("of",A56))),"Distance-location","Named-region")</f>
        <v>Named-region</v>
      </c>
      <c r="V56" s="2" t="str">
        <f aca="false">LOWER(M56)</f>
        <v>mww</v>
      </c>
      <c r="W56" s="5" t="str">
        <f aca="false">IF(COUNTIFS($A$2:$A$1001,A56,$C$2:$C$1001,C56)&gt;1,"Duplicate","Unique")</f>
        <v>Unique</v>
      </c>
    </row>
    <row r="57" customFormat="false" ht="28.35" hidden="false" customHeight="false" outlineLevel="0" collapsed="false">
      <c r="A57" s="2" t="s">
        <v>206</v>
      </c>
      <c r="B57" s="3" t="n">
        <v>6.8</v>
      </c>
      <c r="C57" s="2" t="s">
        <v>207</v>
      </c>
      <c r="D57" s="2" t="n">
        <v>6</v>
      </c>
      <c r="E57" s="2" t="n">
        <v>5</v>
      </c>
      <c r="F57" s="2" t="s">
        <v>25</v>
      </c>
      <c r="G57" s="2" t="n">
        <v>1</v>
      </c>
      <c r="H57" s="2" t="n">
        <v>762</v>
      </c>
      <c r="I57" s="2" t="s">
        <v>26</v>
      </c>
      <c r="J57" s="2" t="n">
        <v>162</v>
      </c>
      <c r="K57" s="2" t="n">
        <v>1.505</v>
      </c>
      <c r="L57" s="2" t="n">
        <v>30</v>
      </c>
      <c r="M57" s="2" t="s">
        <v>27</v>
      </c>
      <c r="N57" s="3" t="n">
        <v>220</v>
      </c>
      <c r="O57" s="3" t="n">
        <v>-23.6141</v>
      </c>
      <c r="P57" s="3" t="n">
        <v>-66.7236</v>
      </c>
      <c r="Q57" s="3" t="s">
        <v>92</v>
      </c>
      <c r="R57" s="2" t="s">
        <v>37</v>
      </c>
      <c r="S57" s="2" t="s">
        <v>38</v>
      </c>
      <c r="T57" s="4" t="n">
        <f aca="false">DATE(VALUE(MID(C57,7,4)),VALUE(MID(C57,4,2)),VALUE(MID(C57,1,2)))+TIME(VALUE(MID(C57,12,2)),VALUE(MID(C57,15,2)),0)</f>
        <v>44691.9625</v>
      </c>
      <c r="U57" s="2" t="str">
        <f aca="false">IF(AND(ISNUMBER(VALUE(MID(A57,7,1))),ISNUMBER(SEARCH("km",A57)),ISNUMBER(SEARCH("of",A57))),"Distance-location","Named-region")</f>
        <v>Named-region</v>
      </c>
      <c r="V57" s="2" t="str">
        <f aca="false">LOWER(M57)</f>
        <v>mww</v>
      </c>
      <c r="W57" s="5" t="str">
        <f aca="false">IF(COUNTIFS($A$2:$A$1001,A57,$C$2:$C$1001,C57)&gt;1,"Duplicate","Unique")</f>
        <v>Unique</v>
      </c>
    </row>
    <row r="58" customFormat="false" ht="15" hidden="false" customHeight="false" outlineLevel="0" collapsed="false">
      <c r="A58" s="2" t="s">
        <v>208</v>
      </c>
      <c r="B58" s="3" t="n">
        <v>6.6</v>
      </c>
      <c r="C58" s="2" t="s">
        <v>209</v>
      </c>
      <c r="D58" s="2" t="n">
        <v>6</v>
      </c>
      <c r="E58" s="2" t="n">
        <v>5</v>
      </c>
      <c r="F58" s="2" t="s">
        <v>25</v>
      </c>
      <c r="G58" s="2" t="n">
        <v>1</v>
      </c>
      <c r="H58" s="2" t="n">
        <v>762</v>
      </c>
      <c r="I58" s="2" t="s">
        <v>26</v>
      </c>
      <c r="J58" s="2" t="n">
        <v>0</v>
      </c>
      <c r="K58" s="2" t="n">
        <v>0.914</v>
      </c>
      <c r="L58" s="2" t="n">
        <v>94</v>
      </c>
      <c r="M58" s="2" t="s">
        <v>27</v>
      </c>
      <c r="N58" s="3" t="n">
        <v>27</v>
      </c>
      <c r="O58" s="3" t="n">
        <v>11.5538</v>
      </c>
      <c r="P58" s="3" t="n">
        <v>-86.9919</v>
      </c>
      <c r="Q58" s="3" t="s">
        <v>210</v>
      </c>
      <c r="R58" s="2"/>
      <c r="S58" s="2"/>
      <c r="T58" s="4" t="n">
        <f aca="false">DATE(VALUE(MID(C58,7,4)),VALUE(MID(C58,4,2)),VALUE(MID(C58,1,2)))+TIME(VALUE(MID(C58,12,2)),VALUE(MID(C58,15,2)),0)</f>
        <v>44672.3208333333</v>
      </c>
      <c r="U58" s="2" t="str">
        <f aca="false">IF(AND(ISNUMBER(VALUE(MID(A58,7,1))),ISNUMBER(SEARCH("km",A58)),ISNUMBER(SEARCH("of",A58))),"Distance-location","Named-region")</f>
        <v>Named-region</v>
      </c>
      <c r="V58" s="2" t="str">
        <f aca="false">LOWER(M58)</f>
        <v>mww</v>
      </c>
      <c r="W58" s="5" t="str">
        <f aca="false">IF(COUNTIFS($A$2:$A$1001,A58,$C$2:$C$1001,C58)&gt;1,"Duplicate","Unique")</f>
        <v>Unique</v>
      </c>
    </row>
    <row r="59" customFormat="false" ht="15" hidden="false" customHeight="false" outlineLevel="0" collapsed="false">
      <c r="A59" s="2" t="s">
        <v>211</v>
      </c>
      <c r="B59" s="3" t="n">
        <v>7</v>
      </c>
      <c r="C59" s="2" t="s">
        <v>212</v>
      </c>
      <c r="D59" s="2" t="n">
        <v>6</v>
      </c>
      <c r="E59" s="2" t="n">
        <v>4</v>
      </c>
      <c r="F59" s="2" t="s">
        <v>25</v>
      </c>
      <c r="G59" s="2" t="n">
        <v>1</v>
      </c>
      <c r="H59" s="2" t="n">
        <v>763</v>
      </c>
      <c r="I59" s="2" t="s">
        <v>26</v>
      </c>
      <c r="J59" s="2" t="n">
        <v>0</v>
      </c>
      <c r="K59" s="2" t="n">
        <v>2.705</v>
      </c>
      <c r="L59" s="2" t="n">
        <v>26</v>
      </c>
      <c r="M59" s="2" t="s">
        <v>27</v>
      </c>
      <c r="N59" s="3" t="n">
        <v>10</v>
      </c>
      <c r="O59" s="3" t="n">
        <v>-22.5732</v>
      </c>
      <c r="P59" s="3" t="n">
        <v>170.349</v>
      </c>
      <c r="Q59" s="3" t="s">
        <v>61</v>
      </c>
      <c r="R59" s="2"/>
      <c r="S59" s="2"/>
      <c r="T59" s="4" t="n">
        <f aca="false">DATE(VALUE(MID(C59,7,4)),VALUE(MID(C59,4,2)),VALUE(MID(C59,1,2)))+TIME(VALUE(MID(C59,12,2)),VALUE(MID(C59,15,2)),0)</f>
        <v>44651.2388888889</v>
      </c>
      <c r="U59" s="2" t="str">
        <f aca="false">IF(AND(ISNUMBER(VALUE(MID(A59,7,1))),ISNUMBER(SEARCH("km",A59)),ISNUMBER(SEARCH("of",A59))),"Distance-location","Named-region")</f>
        <v>Named-region</v>
      </c>
      <c r="V59" s="2" t="str">
        <f aca="false">LOWER(M59)</f>
        <v>mww</v>
      </c>
      <c r="W59" s="5" t="str">
        <f aca="false">IF(COUNTIFS($A$2:$A$1001,A59,$C$2:$C$1001,C59)&gt;1,"Duplicate","Unique")</f>
        <v>Unique</v>
      </c>
    </row>
    <row r="60" customFormat="false" ht="15" hidden="false" customHeight="false" outlineLevel="0" collapsed="false">
      <c r="A60" s="2" t="s">
        <v>213</v>
      </c>
      <c r="B60" s="3" t="n">
        <v>6.9</v>
      </c>
      <c r="C60" s="2" t="s">
        <v>214</v>
      </c>
      <c r="D60" s="2" t="n">
        <v>6</v>
      </c>
      <c r="E60" s="2" t="n">
        <v>4</v>
      </c>
      <c r="F60" s="2" t="s">
        <v>25</v>
      </c>
      <c r="G60" s="2" t="n">
        <v>1</v>
      </c>
      <c r="H60" s="2" t="n">
        <v>738</v>
      </c>
      <c r="I60" s="2" t="s">
        <v>26</v>
      </c>
      <c r="J60" s="2" t="n">
        <v>0</v>
      </c>
      <c r="K60" s="2" t="n">
        <v>2.697</v>
      </c>
      <c r="L60" s="2" t="n">
        <v>42</v>
      </c>
      <c r="M60" s="2" t="s">
        <v>27</v>
      </c>
      <c r="N60" s="3" t="n">
        <v>10</v>
      </c>
      <c r="O60" s="3" t="n">
        <v>-22.72</v>
      </c>
      <c r="P60" s="3" t="n">
        <v>170.277</v>
      </c>
      <c r="Q60" s="3" t="s">
        <v>215</v>
      </c>
      <c r="R60" s="2"/>
      <c r="S60" s="2"/>
      <c r="T60" s="4" t="n">
        <f aca="false">DATE(VALUE(MID(C60,7,4)),VALUE(MID(C60,4,2)),VALUE(MID(C60,1,2)))+TIME(VALUE(MID(C60,12,2)),VALUE(MID(C60,15,2)),0)</f>
        <v>44650.8722222222</v>
      </c>
      <c r="U60" s="2" t="str">
        <f aca="false">IF(AND(ISNUMBER(VALUE(MID(A60,7,1))),ISNUMBER(SEARCH("km",A60)),ISNUMBER(SEARCH("of",A60))),"Distance-location","Named-region")</f>
        <v>Named-region</v>
      </c>
      <c r="V60" s="2" t="str">
        <f aca="false">LOWER(M60)</f>
        <v>mww</v>
      </c>
      <c r="W60" s="5" t="str">
        <f aca="false">IF(COUNTIFS($A$2:$A$1001,A60,$C$2:$C$1001,C60)&gt;1,"Duplicate","Unique")</f>
        <v>Unique</v>
      </c>
    </row>
    <row r="61" customFormat="false" ht="15" hidden="false" customHeight="false" outlineLevel="0" collapsed="false">
      <c r="A61" s="2" t="s">
        <v>216</v>
      </c>
      <c r="B61" s="3" t="n">
        <v>6.7</v>
      </c>
      <c r="C61" s="2" t="s">
        <v>217</v>
      </c>
      <c r="D61" s="2" t="n">
        <v>8</v>
      </c>
      <c r="E61" s="2" t="n">
        <v>7</v>
      </c>
      <c r="F61" s="2" t="s">
        <v>25</v>
      </c>
      <c r="G61" s="2" t="n">
        <v>1</v>
      </c>
      <c r="H61" s="2" t="n">
        <v>806</v>
      </c>
      <c r="I61" s="2" t="s">
        <v>26</v>
      </c>
      <c r="J61" s="2" t="n">
        <v>0</v>
      </c>
      <c r="K61" s="2" t="n">
        <v>0.289</v>
      </c>
      <c r="L61" s="2" t="n">
        <v>32</v>
      </c>
      <c r="M61" s="2" t="s">
        <v>27</v>
      </c>
      <c r="N61" s="3" t="n">
        <v>24</v>
      </c>
      <c r="O61" s="3" t="n">
        <v>23.3421</v>
      </c>
      <c r="P61" s="3" t="n">
        <v>121.636</v>
      </c>
      <c r="Q61" s="3" t="s">
        <v>218</v>
      </c>
      <c r="R61" s="2" t="s">
        <v>84</v>
      </c>
      <c r="S61" s="2" t="s">
        <v>175</v>
      </c>
      <c r="T61" s="4" t="n">
        <f aca="false">DATE(VALUE(MID(C61,7,4)),VALUE(MID(C61,4,2)),VALUE(MID(C61,1,2)))+TIME(VALUE(MID(C61,12,2)),VALUE(MID(C61,15,2)),0)</f>
        <v>44642.7368055556</v>
      </c>
      <c r="U61" s="2" t="str">
        <f aca="false">IF(AND(ISNUMBER(VALUE(MID(A61,7,1))),ISNUMBER(SEARCH("km",A61)),ISNUMBER(SEARCH("of",A61))),"Distance-location","Named-region")</f>
        <v>Named-region</v>
      </c>
      <c r="V61" s="2" t="str">
        <f aca="false">LOWER(M61)</f>
        <v>mww</v>
      </c>
      <c r="W61" s="5" t="str">
        <f aca="false">IF(COUNTIFS($A$2:$A$1001,A61,$C$2:$C$1001,C61)&gt;1,"Duplicate","Unique")</f>
        <v>Unique</v>
      </c>
    </row>
    <row r="62" customFormat="false" ht="15" hidden="false" customHeight="false" outlineLevel="0" collapsed="false">
      <c r="A62" s="2" t="s">
        <v>219</v>
      </c>
      <c r="B62" s="3" t="n">
        <v>7.3</v>
      </c>
      <c r="C62" s="2" t="s">
        <v>220</v>
      </c>
      <c r="D62" s="2" t="n">
        <v>9</v>
      </c>
      <c r="E62" s="2" t="n">
        <v>8</v>
      </c>
      <c r="F62" s="2" t="s">
        <v>125</v>
      </c>
      <c r="G62" s="2" t="n">
        <v>1</v>
      </c>
      <c r="H62" s="2" t="n">
        <v>2397</v>
      </c>
      <c r="I62" s="2" t="s">
        <v>26</v>
      </c>
      <c r="J62" s="2" t="n">
        <v>0</v>
      </c>
      <c r="K62" s="2" t="n">
        <v>2.936</v>
      </c>
      <c r="L62" s="2" t="n">
        <v>29</v>
      </c>
      <c r="M62" s="2" t="s">
        <v>27</v>
      </c>
      <c r="N62" s="3" t="n">
        <v>41</v>
      </c>
      <c r="O62" s="3" t="n">
        <v>37.7015</v>
      </c>
      <c r="P62" s="3" t="n">
        <v>141.587</v>
      </c>
      <c r="Q62" s="3" t="s">
        <v>221</v>
      </c>
      <c r="R62" s="2"/>
      <c r="S62" s="2"/>
      <c r="T62" s="4" t="n">
        <f aca="false">DATE(VALUE(MID(C62,7,4)),VALUE(MID(C62,4,2)),VALUE(MID(C62,1,2)))+TIME(VALUE(MID(C62,12,2)),VALUE(MID(C62,15,2)),0)</f>
        <v>44636.6083333333</v>
      </c>
      <c r="U62" s="2" t="str">
        <f aca="false">IF(AND(ISNUMBER(VALUE(MID(A62,7,1))),ISNUMBER(SEARCH("km",A62)),ISNUMBER(SEARCH("of",A62))),"Distance-location","Named-region")</f>
        <v>Named-region</v>
      </c>
      <c r="V62" s="2" t="str">
        <f aca="false">LOWER(M62)</f>
        <v>mww</v>
      </c>
      <c r="W62" s="5" t="str">
        <f aca="false">IF(COUNTIFS($A$2:$A$1001,A62,$C$2:$C$1001,C62)&gt;1,"Duplicate","Unique")</f>
        <v>Unique</v>
      </c>
    </row>
    <row r="63" customFormat="false" ht="15" hidden="false" customHeight="false" outlineLevel="0" collapsed="false">
      <c r="A63" s="2" t="s">
        <v>222</v>
      </c>
      <c r="B63" s="3" t="n">
        <v>6.7</v>
      </c>
      <c r="C63" s="2" t="s">
        <v>223</v>
      </c>
      <c r="D63" s="2" t="n">
        <v>9</v>
      </c>
      <c r="E63" s="2" t="n">
        <v>6</v>
      </c>
      <c r="F63" s="2" t="s">
        <v>25</v>
      </c>
      <c r="G63" s="2" t="n">
        <v>0</v>
      </c>
      <c r="H63" s="2" t="n">
        <v>708</v>
      </c>
      <c r="I63" s="2" t="s">
        <v>26</v>
      </c>
      <c r="J63" s="2" t="n">
        <v>0</v>
      </c>
      <c r="K63" s="2" t="n">
        <v>2.188</v>
      </c>
      <c r="L63" s="2" t="n">
        <v>43</v>
      </c>
      <c r="M63" s="2" t="s">
        <v>27</v>
      </c>
      <c r="N63" s="3" t="n">
        <v>28</v>
      </c>
      <c r="O63" s="3" t="n">
        <v>-0.6831</v>
      </c>
      <c r="P63" s="3" t="n">
        <v>98.6034</v>
      </c>
      <c r="Q63" s="3" t="s">
        <v>224</v>
      </c>
      <c r="R63" s="2" t="s">
        <v>84</v>
      </c>
      <c r="S63" s="2" t="s">
        <v>72</v>
      </c>
      <c r="T63" s="4" t="n">
        <f aca="false">DATE(VALUE(MID(C63,7,4)),VALUE(MID(C63,4,2)),VALUE(MID(C63,1,2)))+TIME(VALUE(MID(C63,12,2)),VALUE(MID(C63,15,2)),0)</f>
        <v>44633.88125</v>
      </c>
      <c r="U63" s="2" t="str">
        <f aca="false">IF(AND(ISNUMBER(VALUE(MID(A63,7,1))),ISNUMBER(SEARCH("km",A63)),ISNUMBER(SEARCH("of",A63))),"Distance-location","Named-region")</f>
        <v>Named-region</v>
      </c>
      <c r="V63" s="2" t="str">
        <f aca="false">LOWER(M63)</f>
        <v>mww</v>
      </c>
      <c r="W63" s="5" t="str">
        <f aca="false">IF(COUNTIFS($A$2:$A$1001,A63,$C$2:$C$1001,C63)&gt;1,"Duplicate","Unique")</f>
        <v>Unique</v>
      </c>
    </row>
    <row r="64" customFormat="false" ht="15" hidden="false" customHeight="false" outlineLevel="0" collapsed="false">
      <c r="A64" s="2" t="s">
        <v>225</v>
      </c>
      <c r="B64" s="3" t="n">
        <v>6.6</v>
      </c>
      <c r="C64" s="2" t="s">
        <v>226</v>
      </c>
      <c r="D64" s="2" t="n">
        <v>2</v>
      </c>
      <c r="E64" s="2" t="n">
        <v>7</v>
      </c>
      <c r="F64" s="2" t="s">
        <v>25</v>
      </c>
      <c r="G64" s="2" t="n">
        <v>1</v>
      </c>
      <c r="H64" s="2" t="n">
        <v>670</v>
      </c>
      <c r="I64" s="2" t="s">
        <v>26</v>
      </c>
      <c r="J64" s="2" t="n">
        <v>0</v>
      </c>
      <c r="K64" s="2" t="n">
        <v>0.827</v>
      </c>
      <c r="L64" s="2" t="n">
        <v>46</v>
      </c>
      <c r="M64" s="2" t="s">
        <v>27</v>
      </c>
      <c r="N64" s="3" t="n">
        <v>24</v>
      </c>
      <c r="O64" s="3" t="n">
        <v>-30.0528</v>
      </c>
      <c r="P64" s="3" t="n">
        <v>-177.74</v>
      </c>
      <c r="Q64" s="3" t="s">
        <v>75</v>
      </c>
      <c r="R64" s="2"/>
      <c r="S64" s="2"/>
      <c r="T64" s="4" t="n">
        <f aca="false">DATE(VALUE(MID(C64,7,4)),VALUE(MID(C64,4,2)),VALUE(MID(C64,1,2)))+TIME(VALUE(MID(C64,12,2)),VALUE(MID(C64,15,2)),0)</f>
        <v>44622.5361111111</v>
      </c>
      <c r="U64" s="2" t="str">
        <f aca="false">IF(AND(ISNUMBER(VALUE(MID(A64,7,1))),ISNUMBER(SEARCH("km",A64)),ISNUMBER(SEARCH("of",A64))),"Distance-location","Named-region")</f>
        <v>Named-region</v>
      </c>
      <c r="V64" s="2" t="str">
        <f aca="false">LOWER(M64)</f>
        <v>mww</v>
      </c>
      <c r="W64" s="5" t="str">
        <f aca="false">IF(COUNTIFS($A$2:$A$1001,A64,$C$2:$C$1001,C64)&gt;1,"Duplicate","Unique")</f>
        <v>Unique</v>
      </c>
    </row>
    <row r="65" customFormat="false" ht="15" hidden="false" customHeight="false" outlineLevel="0" collapsed="false">
      <c r="A65" s="2" t="s">
        <v>159</v>
      </c>
      <c r="B65" s="3" t="n">
        <v>6.8</v>
      </c>
      <c r="C65" s="2" t="s">
        <v>227</v>
      </c>
      <c r="D65" s="2" t="n">
        <v>2</v>
      </c>
      <c r="E65" s="2" t="n">
        <v>3</v>
      </c>
      <c r="F65" s="2" t="s">
        <v>25</v>
      </c>
      <c r="G65" s="2" t="n">
        <v>1</v>
      </c>
      <c r="H65" s="2" t="n">
        <v>712</v>
      </c>
      <c r="I65" s="2" t="s">
        <v>26</v>
      </c>
      <c r="J65" s="2" t="n">
        <v>0</v>
      </c>
      <c r="K65" s="2" t="n">
        <v>5.78</v>
      </c>
      <c r="L65" s="2" t="n">
        <v>12</v>
      </c>
      <c r="M65" s="2" t="s">
        <v>27</v>
      </c>
      <c r="N65" s="3" t="n">
        <v>535</v>
      </c>
      <c r="O65" s="3" t="n">
        <v>-23.7852</v>
      </c>
      <c r="P65" s="3" t="n">
        <v>-179.968</v>
      </c>
      <c r="Q65" s="3" t="s">
        <v>54</v>
      </c>
      <c r="R65" s="2"/>
      <c r="S65" s="2"/>
      <c r="T65" s="4" t="n">
        <f aca="false">DATE(VALUE(MID(C65,7,4)),VALUE(MID(C65,4,2)),VALUE(MID(C65,1,2)))+TIME(VALUE(MID(C65,12,2)),VALUE(MID(C65,15,2)),0)</f>
        <v>44608.8479166667</v>
      </c>
      <c r="U65" s="2" t="str">
        <f aca="false">IF(AND(ISNUMBER(VALUE(MID(A65,7,1))),ISNUMBER(SEARCH("km",A65)),ISNUMBER(SEARCH("of",A65))),"Distance-location","Named-region")</f>
        <v>Named-region</v>
      </c>
      <c r="V65" s="2" t="str">
        <f aca="false">LOWER(M65)</f>
        <v>mww</v>
      </c>
      <c r="W65" s="5" t="str">
        <f aca="false">IF(COUNTIFS($A$2:$A$1001,A65,$C$2:$C$1001,C65)&gt;1,"Duplicate","Unique")</f>
        <v>Unique</v>
      </c>
    </row>
    <row r="66" customFormat="false" ht="15" hidden="false" customHeight="false" outlineLevel="0" collapsed="false">
      <c r="A66" s="2" t="s">
        <v>228</v>
      </c>
      <c r="B66" s="3" t="n">
        <v>6.5</v>
      </c>
      <c r="C66" s="2" t="s">
        <v>229</v>
      </c>
      <c r="D66" s="2" t="n">
        <v>8</v>
      </c>
      <c r="E66" s="2" t="n">
        <v>6</v>
      </c>
      <c r="F66" s="2" t="s">
        <v>25</v>
      </c>
      <c r="G66" s="2" t="n">
        <v>0</v>
      </c>
      <c r="H66" s="2" t="n">
        <v>690</v>
      </c>
      <c r="I66" s="2" t="s">
        <v>26</v>
      </c>
      <c r="J66" s="2" t="n">
        <v>0</v>
      </c>
      <c r="K66" s="2" t="n">
        <v>3.026</v>
      </c>
      <c r="L66" s="2" t="n">
        <v>22</v>
      </c>
      <c r="M66" s="2" t="s">
        <v>27</v>
      </c>
      <c r="N66" s="3" t="n">
        <v>110</v>
      </c>
      <c r="O66" s="3" t="n">
        <v>-4.455</v>
      </c>
      <c r="P66" s="3" t="n">
        <v>-76.9395</v>
      </c>
      <c r="Q66" s="3" t="s">
        <v>230</v>
      </c>
      <c r="R66" s="2" t="s">
        <v>37</v>
      </c>
      <c r="S66" s="2" t="s">
        <v>203</v>
      </c>
      <c r="T66" s="4" t="n">
        <f aca="false">DATE(VALUE(MID(C66,7,4)),VALUE(MID(C66,4,2)),VALUE(MID(C66,1,2)))+TIME(VALUE(MID(C66,12,2)),VALUE(MID(C66,15,2)),0)</f>
        <v>44595.6652777778</v>
      </c>
      <c r="U66" s="2" t="str">
        <f aca="false">IF(AND(ISNUMBER(VALUE(MID(A66,7,1))),ISNUMBER(SEARCH("km",A66)),ISNUMBER(SEARCH("of",A66))),"Distance-location","Named-region")</f>
        <v>Named-region</v>
      </c>
      <c r="V66" s="2" t="str">
        <f aca="false">LOWER(M66)</f>
        <v>mww</v>
      </c>
      <c r="W66" s="5" t="str">
        <f aca="false">IF(COUNTIFS($A$2:$A$1001,A66,$C$2:$C$1001,C66)&gt;1,"Duplicate","Unique")</f>
        <v>Unique</v>
      </c>
    </row>
    <row r="67" customFormat="false" ht="15" hidden="false" customHeight="false" outlineLevel="0" collapsed="false">
      <c r="A67" s="2" t="s">
        <v>231</v>
      </c>
      <c r="B67" s="3" t="n">
        <v>6.5</v>
      </c>
      <c r="C67" s="2" t="s">
        <v>232</v>
      </c>
      <c r="D67" s="2" t="n">
        <v>7</v>
      </c>
      <c r="E67" s="2" t="n">
        <v>4</v>
      </c>
      <c r="F67" s="2" t="s">
        <v>25</v>
      </c>
      <c r="G67" s="2" t="n">
        <v>1</v>
      </c>
      <c r="H67" s="2" t="n">
        <v>651</v>
      </c>
      <c r="I67" s="2" t="s">
        <v>26</v>
      </c>
      <c r="J67" s="2" t="n">
        <v>0</v>
      </c>
      <c r="K67" s="2" t="n">
        <v>1.088</v>
      </c>
      <c r="L67" s="2" t="n">
        <v>57</v>
      </c>
      <c r="M67" s="2" t="s">
        <v>27</v>
      </c>
      <c r="N67" s="3" t="n">
        <v>8</v>
      </c>
      <c r="O67" s="3" t="n">
        <v>-29.535</v>
      </c>
      <c r="P67" s="3" t="n">
        <v>-176.729</v>
      </c>
      <c r="Q67" s="3" t="s">
        <v>103</v>
      </c>
      <c r="R67" s="2"/>
      <c r="S67" s="2"/>
      <c r="T67" s="4" t="n">
        <f aca="false">DATE(VALUE(MID(C67,7,4)),VALUE(MID(C67,4,2)),VALUE(MID(C67,1,2)))+TIME(VALUE(MID(C67,12,2)),VALUE(MID(C67,15,2)),0)</f>
        <v>44590.1152777778</v>
      </c>
      <c r="U67" s="2" t="str">
        <f aca="false">IF(AND(ISNUMBER(VALUE(MID(A67,7,1))),ISNUMBER(SEARCH("km",A67)),ISNUMBER(SEARCH("of",A67))),"Distance-location","Named-region")</f>
        <v>Named-region</v>
      </c>
      <c r="V67" s="2" t="str">
        <f aca="false">LOWER(M67)</f>
        <v>mww</v>
      </c>
      <c r="W67" s="5" t="str">
        <f aca="false">IF(COUNTIFS($A$2:$A$1001,A67,$C$2:$C$1001,C67)&gt;1,"Duplicate","Unique")</f>
        <v>Unique</v>
      </c>
    </row>
    <row r="68" customFormat="false" ht="15" hidden="false" customHeight="false" outlineLevel="0" collapsed="false">
      <c r="A68" s="2" t="s">
        <v>233</v>
      </c>
      <c r="B68" s="3" t="n">
        <v>6.6</v>
      </c>
      <c r="C68" s="2" t="s">
        <v>234</v>
      </c>
      <c r="D68" s="2" t="n">
        <v>8</v>
      </c>
      <c r="E68" s="2" t="n">
        <v>6</v>
      </c>
      <c r="F68" s="2" t="s">
        <v>25</v>
      </c>
      <c r="G68" s="2" t="n">
        <v>0</v>
      </c>
      <c r="H68" s="2" t="n">
        <v>785</v>
      </c>
      <c r="I68" s="2" t="s">
        <v>26</v>
      </c>
      <c r="J68" s="2" t="n">
        <v>0</v>
      </c>
      <c r="K68" s="2" t="n">
        <v>2.418</v>
      </c>
      <c r="L68" s="2" t="n">
        <v>22</v>
      </c>
      <c r="M68" s="2" t="s">
        <v>27</v>
      </c>
      <c r="N68" s="3" t="n">
        <v>33</v>
      </c>
      <c r="O68" s="3" t="n">
        <v>-6.9291</v>
      </c>
      <c r="P68" s="3" t="n">
        <v>105.251</v>
      </c>
      <c r="Q68" s="3" t="s">
        <v>235</v>
      </c>
      <c r="R68" s="2"/>
      <c r="S68" s="2" t="s">
        <v>72</v>
      </c>
      <c r="T68" s="4" t="n">
        <f aca="false">DATE(VALUE(MID(C68,7,4)),VALUE(MID(C68,4,2)),VALUE(MID(C68,1,2)))+TIME(VALUE(MID(C68,12,2)),VALUE(MID(C68,15,2)),0)</f>
        <v>44575.3784722222</v>
      </c>
      <c r="U68" s="2" t="str">
        <f aca="false">IF(AND(ISNUMBER(VALUE(MID(A68,7,1))),ISNUMBER(SEARCH("km",A68)),ISNUMBER(SEARCH("of",A68))),"Distance-location","Named-region")</f>
        <v>Named-region</v>
      </c>
      <c r="V68" s="2" t="str">
        <f aca="false">LOWER(M68)</f>
        <v>mww</v>
      </c>
      <c r="W68" s="5" t="str">
        <f aca="false">IF(COUNTIFS($A$2:$A$1001,A68,$C$2:$C$1001,C68)&gt;1,"Duplicate","Unique")</f>
        <v>Unique</v>
      </c>
    </row>
    <row r="69" customFormat="false" ht="15" hidden="false" customHeight="false" outlineLevel="0" collapsed="false">
      <c r="A69" s="2" t="s">
        <v>236</v>
      </c>
      <c r="B69" s="3" t="n">
        <v>6.5</v>
      </c>
      <c r="C69" s="2" t="s">
        <v>237</v>
      </c>
      <c r="D69" s="2" t="n">
        <v>0</v>
      </c>
      <c r="E69" s="2" t="n">
        <v>3</v>
      </c>
      <c r="F69" s="2"/>
      <c r="G69" s="2" t="n">
        <v>1</v>
      </c>
      <c r="H69" s="2" t="n">
        <v>650</v>
      </c>
      <c r="I69" s="2" t="s">
        <v>43</v>
      </c>
      <c r="J69" s="2" t="n">
        <v>97</v>
      </c>
      <c r="K69" s="2" t="n">
        <v>1.61607</v>
      </c>
      <c r="L69" s="2" t="n">
        <v>108</v>
      </c>
      <c r="M69" s="2" t="s">
        <v>44</v>
      </c>
      <c r="N69" s="3" t="n">
        <v>37</v>
      </c>
      <c r="O69" s="3" t="n">
        <v>52.502</v>
      </c>
      <c r="P69" s="3" t="n">
        <v>-168.08</v>
      </c>
      <c r="Q69" s="3" t="s">
        <v>238</v>
      </c>
      <c r="R69" s="2"/>
      <c r="S69" s="2"/>
      <c r="T69" s="4" t="n">
        <f aca="false">DATE(VALUE(MID(C69,7,4)),VALUE(MID(C69,4,2)),VALUE(MID(C69,1,2)))+TIME(VALUE(MID(C69,12,2)),VALUE(MID(C69,15,2)),0)</f>
        <v>44572.5270833333</v>
      </c>
      <c r="U69" s="2" t="str">
        <f aca="false">IF(AND(ISNUMBER(VALUE(MID(A69,7,1))),ISNUMBER(SEARCH("km",A69)),ISNUMBER(SEARCH("of",A69))),"Distance-location","Named-region")</f>
        <v>Named-region</v>
      </c>
      <c r="V69" s="2" t="str">
        <f aca="false">LOWER(M69)</f>
        <v>mi</v>
      </c>
      <c r="W69" s="5" t="str">
        <f aca="false">IF(COUNTIFS($A$2:$A$1001,A69,$C$2:$C$1001,C69)&gt;1,"Duplicate","Unique")</f>
        <v>Duplicate</v>
      </c>
    </row>
    <row r="70" customFormat="false" ht="15" hidden="false" customHeight="false" outlineLevel="0" collapsed="false">
      <c r="A70" s="2" t="s">
        <v>236</v>
      </c>
      <c r="B70" s="3" t="n">
        <v>6.5</v>
      </c>
      <c r="C70" s="2" t="s">
        <v>237</v>
      </c>
      <c r="D70" s="2" t="n">
        <v>0</v>
      </c>
      <c r="E70" s="2" t="n">
        <v>3</v>
      </c>
      <c r="F70" s="2"/>
      <c r="G70" s="2" t="n">
        <v>1</v>
      </c>
      <c r="H70" s="2" t="n">
        <v>650</v>
      </c>
      <c r="I70" s="2" t="s">
        <v>239</v>
      </c>
      <c r="J70" s="2" t="n">
        <v>23</v>
      </c>
      <c r="K70" s="2" t="n">
        <v>0</v>
      </c>
      <c r="L70" s="2" t="n">
        <v>208.8</v>
      </c>
      <c r="M70" s="2" t="s">
        <v>44</v>
      </c>
      <c r="N70" s="3" t="n">
        <v>37</v>
      </c>
      <c r="O70" s="3" t="n">
        <v>52.502</v>
      </c>
      <c r="P70" s="3" t="n">
        <v>-168.08</v>
      </c>
      <c r="Q70" s="3" t="s">
        <v>238</v>
      </c>
      <c r="R70" s="2"/>
      <c r="S70" s="2"/>
      <c r="T70" s="4" t="n">
        <f aca="false">DATE(VALUE(MID(C70,7,4)),VALUE(MID(C70,4,2)),VALUE(MID(C70,1,2)))+TIME(VALUE(MID(C70,12,2)),VALUE(MID(C70,15,2)),0)</f>
        <v>44572.5270833333</v>
      </c>
      <c r="U70" s="2" t="str">
        <f aca="false">IF(AND(ISNUMBER(VALUE(MID(A70,7,1))),ISNUMBER(SEARCH("km",A70)),ISNUMBER(SEARCH("of",A70))),"Distance-location","Named-region")</f>
        <v>Named-region</v>
      </c>
      <c r="V70" s="2" t="str">
        <f aca="false">LOWER(M70)</f>
        <v>mi</v>
      </c>
      <c r="W70" s="5" t="str">
        <f aca="false">IF(COUNTIFS($A$2:$A$1001,A70,$C$2:$C$1001,C70)&gt;1,"Duplicate","Unique")</f>
        <v>Duplicate</v>
      </c>
    </row>
    <row r="71" customFormat="false" ht="15" hidden="false" customHeight="false" outlineLevel="0" collapsed="false">
      <c r="A71" s="2" t="s">
        <v>240</v>
      </c>
      <c r="B71" s="3" t="n">
        <v>6.6</v>
      </c>
      <c r="C71" s="2" t="s">
        <v>237</v>
      </c>
      <c r="D71" s="2" t="n">
        <v>8</v>
      </c>
      <c r="E71" s="2" t="n">
        <v>5</v>
      </c>
      <c r="F71" s="2" t="s">
        <v>25</v>
      </c>
      <c r="G71" s="2" t="n">
        <v>1</v>
      </c>
      <c r="H71" s="2" t="n">
        <v>674</v>
      </c>
      <c r="I71" s="2" t="s">
        <v>26</v>
      </c>
      <c r="J71" s="2" t="n">
        <v>0</v>
      </c>
      <c r="K71" s="2" t="n">
        <v>0.507</v>
      </c>
      <c r="L71" s="2" t="n">
        <v>49</v>
      </c>
      <c r="M71" s="2" t="s">
        <v>27</v>
      </c>
      <c r="N71" s="3" t="n">
        <v>19</v>
      </c>
      <c r="O71" s="3" t="n">
        <v>52.6252</v>
      </c>
      <c r="P71" s="3" t="n">
        <v>-168.15</v>
      </c>
      <c r="Q71" s="3" t="s">
        <v>238</v>
      </c>
      <c r="R71" s="2"/>
      <c r="S71" s="2"/>
      <c r="T71" s="4" t="n">
        <f aca="false">DATE(VALUE(MID(C71,7,4)),VALUE(MID(C71,4,2)),VALUE(MID(C71,1,2)))+TIME(VALUE(MID(C71,12,2)),VALUE(MID(C71,15,2)),0)</f>
        <v>44572.5270833333</v>
      </c>
      <c r="U71" s="2" t="str">
        <f aca="false">IF(AND(ISNUMBER(VALUE(MID(A71,7,1))),ISNUMBER(SEARCH("km",A71)),ISNUMBER(SEARCH("of",A71))),"Distance-location","Named-region")</f>
        <v>Named-region</v>
      </c>
      <c r="V71" s="2" t="str">
        <f aca="false">LOWER(M71)</f>
        <v>mww</v>
      </c>
      <c r="W71" s="5" t="str">
        <f aca="false">IF(COUNTIFS($A$2:$A$1001,A71,$C$2:$C$1001,C71)&gt;1,"Duplicate","Unique")</f>
        <v>Unique</v>
      </c>
    </row>
    <row r="72" customFormat="false" ht="15" hidden="false" customHeight="false" outlineLevel="0" collapsed="false">
      <c r="A72" s="2" t="s">
        <v>241</v>
      </c>
      <c r="B72" s="3" t="n">
        <v>6.7</v>
      </c>
      <c r="C72" s="2" t="s">
        <v>242</v>
      </c>
      <c r="D72" s="2" t="n">
        <v>0</v>
      </c>
      <c r="E72" s="2" t="n">
        <v>4</v>
      </c>
      <c r="F72" s="2"/>
      <c r="G72" s="2" t="n">
        <v>1</v>
      </c>
      <c r="H72" s="2" t="n">
        <v>691</v>
      </c>
      <c r="I72" s="2" t="s">
        <v>43</v>
      </c>
      <c r="J72" s="2" t="n">
        <v>50</v>
      </c>
      <c r="K72" s="2" t="n">
        <v>0.936943</v>
      </c>
      <c r="L72" s="2" t="n">
        <v>126</v>
      </c>
      <c r="M72" s="2" t="s">
        <v>44</v>
      </c>
      <c r="N72" s="3" t="n">
        <v>33</v>
      </c>
      <c r="O72" s="3" t="n">
        <v>52.48</v>
      </c>
      <c r="P72" s="3" t="n">
        <v>-167.736</v>
      </c>
      <c r="Q72" s="3" t="s">
        <v>238</v>
      </c>
      <c r="R72" s="2"/>
      <c r="S72" s="2"/>
      <c r="T72" s="4" t="n">
        <f aca="false">DATE(VALUE(MID(C72,7,4)),VALUE(MID(C72,4,2)),VALUE(MID(C72,1,2)))+TIME(VALUE(MID(C72,12,2)),VALUE(MID(C72,15,2)),0)</f>
        <v>44572.4826388889</v>
      </c>
      <c r="U72" s="2" t="str">
        <f aca="false">IF(AND(ISNUMBER(VALUE(MID(A72,7,1))),ISNUMBER(SEARCH("km",A72)),ISNUMBER(SEARCH("of",A72))),"Distance-location","Named-region")</f>
        <v>Named-region</v>
      </c>
      <c r="V72" s="2" t="str">
        <f aca="false">LOWER(M72)</f>
        <v>mi</v>
      </c>
      <c r="W72" s="5" t="str">
        <f aca="false">IF(COUNTIFS($A$2:$A$1001,A72,$C$2:$C$1001,C72)&gt;1,"Duplicate","Unique")</f>
        <v>Duplicate</v>
      </c>
    </row>
    <row r="73" customFormat="false" ht="15" hidden="false" customHeight="false" outlineLevel="0" collapsed="false">
      <c r="A73" s="2" t="s">
        <v>241</v>
      </c>
      <c r="B73" s="3" t="n">
        <v>6.7</v>
      </c>
      <c r="C73" s="2" t="s">
        <v>242</v>
      </c>
      <c r="D73" s="2" t="n">
        <v>0</v>
      </c>
      <c r="E73" s="2" t="n">
        <v>4</v>
      </c>
      <c r="F73" s="2"/>
      <c r="G73" s="2" t="n">
        <v>1</v>
      </c>
      <c r="H73" s="2" t="n">
        <v>691</v>
      </c>
      <c r="I73" s="2" t="s">
        <v>239</v>
      </c>
      <c r="J73" s="2" t="n">
        <v>20</v>
      </c>
      <c r="K73" s="2" t="n">
        <v>0</v>
      </c>
      <c r="L73" s="2" t="n">
        <v>205.2</v>
      </c>
      <c r="M73" s="2" t="s">
        <v>44</v>
      </c>
      <c r="N73" s="3" t="n">
        <v>33</v>
      </c>
      <c r="O73" s="3" t="n">
        <v>52.48</v>
      </c>
      <c r="P73" s="3" t="n">
        <v>-167.736</v>
      </c>
      <c r="Q73" s="3" t="s">
        <v>238</v>
      </c>
      <c r="R73" s="2"/>
      <c r="S73" s="2"/>
      <c r="T73" s="4" t="n">
        <f aca="false">DATE(VALUE(MID(C73,7,4)),VALUE(MID(C73,4,2)),VALUE(MID(C73,1,2)))+TIME(VALUE(MID(C73,12,2)),VALUE(MID(C73,15,2)),0)</f>
        <v>44572.4826388889</v>
      </c>
      <c r="U73" s="2" t="str">
        <f aca="false">IF(AND(ISNUMBER(VALUE(MID(A73,7,1))),ISNUMBER(SEARCH("km",A73)),ISNUMBER(SEARCH("of",A73))),"Distance-location","Named-region")</f>
        <v>Named-region</v>
      </c>
      <c r="V73" s="2" t="str">
        <f aca="false">LOWER(M73)</f>
        <v>mi</v>
      </c>
      <c r="W73" s="5" t="str">
        <f aca="false">IF(COUNTIFS($A$2:$A$1001,A73,$C$2:$C$1001,C73)&gt;1,"Duplicate","Unique")</f>
        <v>Duplicate</v>
      </c>
    </row>
    <row r="74" customFormat="false" ht="15" hidden="false" customHeight="false" outlineLevel="0" collapsed="false">
      <c r="A74" s="2" t="s">
        <v>243</v>
      </c>
      <c r="B74" s="3" t="n">
        <v>6.8</v>
      </c>
      <c r="C74" s="2" t="s">
        <v>242</v>
      </c>
      <c r="D74" s="2" t="n">
        <v>7</v>
      </c>
      <c r="E74" s="2" t="n">
        <v>6</v>
      </c>
      <c r="F74" s="2" t="s">
        <v>25</v>
      </c>
      <c r="G74" s="2" t="n">
        <v>1</v>
      </c>
      <c r="H74" s="2" t="n">
        <v>730</v>
      </c>
      <c r="I74" s="2" t="s">
        <v>26</v>
      </c>
      <c r="J74" s="2" t="n">
        <v>0</v>
      </c>
      <c r="K74" s="2" t="n">
        <v>0.92</v>
      </c>
      <c r="L74" s="2" t="n">
        <v>61</v>
      </c>
      <c r="M74" s="2" t="s">
        <v>27</v>
      </c>
      <c r="N74" s="3" t="n">
        <v>20</v>
      </c>
      <c r="O74" s="3" t="n">
        <v>52.6563</v>
      </c>
      <c r="P74" s="3" t="n">
        <v>-167.917</v>
      </c>
      <c r="Q74" s="3" t="s">
        <v>238</v>
      </c>
      <c r="R74" s="2"/>
      <c r="S74" s="2"/>
      <c r="T74" s="4" t="n">
        <f aca="false">DATE(VALUE(MID(C74,7,4)),VALUE(MID(C74,4,2)),VALUE(MID(C74,1,2)))+TIME(VALUE(MID(C74,12,2)),VALUE(MID(C74,15,2)),0)</f>
        <v>44572.4826388889</v>
      </c>
      <c r="U74" s="2" t="str">
        <f aca="false">IF(AND(ISNUMBER(VALUE(MID(A74,7,1))),ISNUMBER(SEARCH("km",A74)),ISNUMBER(SEARCH("of",A74))),"Distance-location","Named-region")</f>
        <v>Named-region</v>
      </c>
      <c r="V74" s="2" t="str">
        <f aca="false">LOWER(M74)</f>
        <v>mww</v>
      </c>
      <c r="W74" s="5" t="str">
        <f aca="false">IF(COUNTIFS($A$2:$A$1001,A74,$C$2:$C$1001,C74)&gt;1,"Duplicate","Unique")</f>
        <v>Unique</v>
      </c>
    </row>
    <row r="75" customFormat="false" ht="15" hidden="false" customHeight="false" outlineLevel="0" collapsed="false">
      <c r="A75" s="2" t="s">
        <v>244</v>
      </c>
      <c r="B75" s="3" t="n">
        <v>6.6</v>
      </c>
      <c r="C75" s="2" t="s">
        <v>245</v>
      </c>
      <c r="D75" s="2" t="n">
        <v>6</v>
      </c>
      <c r="E75" s="2" t="n">
        <v>6</v>
      </c>
      <c r="F75" s="2" t="s">
        <v>25</v>
      </c>
      <c r="G75" s="2" t="n">
        <v>0</v>
      </c>
      <c r="H75" s="2" t="n">
        <v>976</v>
      </c>
      <c r="I75" s="2" t="s">
        <v>26</v>
      </c>
      <c r="J75" s="2" t="n">
        <v>0</v>
      </c>
      <c r="K75" s="2" t="n">
        <v>1.168</v>
      </c>
      <c r="L75" s="2" t="n">
        <v>21</v>
      </c>
      <c r="M75" s="2" t="s">
        <v>27</v>
      </c>
      <c r="N75" s="3" t="n">
        <v>21</v>
      </c>
      <c r="O75" s="3" t="n">
        <v>35.1456</v>
      </c>
      <c r="P75" s="3" t="n">
        <v>31.9095</v>
      </c>
      <c r="Q75" s="3" t="s">
        <v>246</v>
      </c>
      <c r="R75" s="2" t="s">
        <v>84</v>
      </c>
      <c r="S75" s="2"/>
      <c r="T75" s="4" t="n">
        <f aca="false">DATE(VALUE(MID(C75,7,4)),VALUE(MID(C75,4,2)),VALUE(MID(C75,1,2)))+TIME(VALUE(MID(C75,12,2)),VALUE(MID(C75,15,2)),0)</f>
        <v>44572.0465277778</v>
      </c>
      <c r="U75" s="2" t="str">
        <f aca="false">IF(AND(ISNUMBER(VALUE(MID(A75,7,1))),ISNUMBER(SEARCH("km",A75)),ISNUMBER(SEARCH("of",A75))),"Distance-location","Named-region")</f>
        <v>Named-region</v>
      </c>
      <c r="V75" s="2" t="str">
        <f aca="false">LOWER(M75)</f>
        <v>mww</v>
      </c>
      <c r="W75" s="5" t="str">
        <f aca="false">IF(COUNTIFS($A$2:$A$1001,A75,$C$2:$C$1001,C75)&gt;1,"Duplicate","Unique")</f>
        <v>Unique</v>
      </c>
    </row>
    <row r="76" customFormat="false" ht="15" hidden="false" customHeight="false" outlineLevel="0" collapsed="false">
      <c r="A76" s="2" t="s">
        <v>247</v>
      </c>
      <c r="B76" s="3" t="n">
        <v>6.6</v>
      </c>
      <c r="C76" s="2" t="s">
        <v>248</v>
      </c>
      <c r="D76" s="2" t="n">
        <v>9</v>
      </c>
      <c r="E76" s="2" t="n">
        <v>8</v>
      </c>
      <c r="F76" s="2" t="s">
        <v>99</v>
      </c>
      <c r="G76" s="2" t="n">
        <v>0</v>
      </c>
      <c r="H76" s="2" t="n">
        <v>1012</v>
      </c>
      <c r="I76" s="2" t="s">
        <v>26</v>
      </c>
      <c r="J76" s="2" t="n">
        <v>0</v>
      </c>
      <c r="K76" s="2" t="n">
        <v>2.685</v>
      </c>
      <c r="L76" s="2" t="n">
        <v>13</v>
      </c>
      <c r="M76" s="2" t="s">
        <v>27</v>
      </c>
      <c r="N76" s="3" t="n">
        <v>13</v>
      </c>
      <c r="O76" s="3" t="n">
        <v>37.8167</v>
      </c>
      <c r="P76" s="3" t="n">
        <v>101.299</v>
      </c>
      <c r="Q76" s="3" t="s">
        <v>249</v>
      </c>
      <c r="R76" s="2" t="s">
        <v>84</v>
      </c>
      <c r="S76" s="2" t="s">
        <v>188</v>
      </c>
      <c r="T76" s="4" t="n">
        <f aca="false">DATE(VALUE(MID(C76,7,4)),VALUE(MID(C76,4,2)),VALUE(MID(C76,1,2)))+TIME(VALUE(MID(C76,12,2)),VALUE(MID(C76,15,2)),0)</f>
        <v>44568.7395833333</v>
      </c>
      <c r="U76" s="2" t="str">
        <f aca="false">IF(AND(ISNUMBER(VALUE(MID(A76,7,1))),ISNUMBER(SEARCH("km",A76)),ISNUMBER(SEARCH("of",A76))),"Distance-location","Named-region")</f>
        <v>Named-region</v>
      </c>
      <c r="V76" s="2" t="str">
        <f aca="false">LOWER(M76)</f>
        <v>mww</v>
      </c>
      <c r="W76" s="5" t="str">
        <f aca="false">IF(COUNTIFS($A$2:$A$1001,A76,$C$2:$C$1001,C76)&gt;1,"Duplicate","Unique")</f>
        <v>Unique</v>
      </c>
    </row>
    <row r="77" customFormat="false" ht="15" hidden="false" customHeight="false" outlineLevel="0" collapsed="false">
      <c r="A77" s="2" t="s">
        <v>250</v>
      </c>
      <c r="B77" s="3" t="n">
        <v>7.3</v>
      </c>
      <c r="C77" s="2" t="s">
        <v>251</v>
      </c>
      <c r="D77" s="2" t="n">
        <v>8</v>
      </c>
      <c r="E77" s="2" t="n">
        <v>7</v>
      </c>
      <c r="F77" s="2" t="s">
        <v>25</v>
      </c>
      <c r="G77" s="2" t="n">
        <v>0</v>
      </c>
      <c r="H77" s="2" t="n">
        <v>921</v>
      </c>
      <c r="I77" s="2" t="s">
        <v>26</v>
      </c>
      <c r="J77" s="2" t="n">
        <v>0</v>
      </c>
      <c r="K77" s="2" t="n">
        <v>3.713</v>
      </c>
      <c r="L77" s="2" t="n">
        <v>19</v>
      </c>
      <c r="M77" s="2" t="s">
        <v>27</v>
      </c>
      <c r="N77" s="3" t="n">
        <v>165.49</v>
      </c>
      <c r="O77" s="3" t="n">
        <v>-7.5924</v>
      </c>
      <c r="P77" s="3" t="n">
        <v>127.581</v>
      </c>
      <c r="Q77" s="3" t="s">
        <v>252</v>
      </c>
      <c r="R77" s="2"/>
      <c r="S77" s="2" t="s">
        <v>72</v>
      </c>
      <c r="T77" s="4" t="n">
        <f aca="false">DATE(VALUE(MID(C77,7,4)),VALUE(MID(C77,4,2)),VALUE(MID(C77,1,2)))+TIME(VALUE(MID(C77,12,2)),VALUE(MID(C77,15,2)),0)</f>
        <v>44559.7673611111</v>
      </c>
      <c r="U77" s="2" t="str">
        <f aca="false">IF(AND(ISNUMBER(VALUE(MID(A77,7,1))),ISNUMBER(SEARCH("km",A77)),ISNUMBER(SEARCH("of",A77))),"Distance-location","Named-region")</f>
        <v>Named-region</v>
      </c>
      <c r="V77" s="2" t="str">
        <f aca="false">LOWER(M77)</f>
        <v>mww</v>
      </c>
      <c r="W77" s="5" t="str">
        <f aca="false">IF(COUNTIFS($A$2:$A$1001,A77,$C$2:$C$1001,C77)&gt;1,"Duplicate","Unique")</f>
        <v>Unique</v>
      </c>
    </row>
    <row r="78" customFormat="false" ht="15" hidden="false" customHeight="false" outlineLevel="0" collapsed="false">
      <c r="A78" s="2" t="s">
        <v>253</v>
      </c>
      <c r="B78" s="3" t="n">
        <v>7.3</v>
      </c>
      <c r="C78" s="2" t="s">
        <v>254</v>
      </c>
      <c r="D78" s="2" t="n">
        <v>9</v>
      </c>
      <c r="E78" s="2" t="n">
        <v>5</v>
      </c>
      <c r="F78" s="2" t="s">
        <v>25</v>
      </c>
      <c r="G78" s="2" t="n">
        <v>1</v>
      </c>
      <c r="H78" s="2" t="n">
        <v>854</v>
      </c>
      <c r="I78" s="2" t="s">
        <v>26</v>
      </c>
      <c r="J78" s="2" t="n">
        <v>0</v>
      </c>
      <c r="K78" s="2" t="n">
        <v>1.025</v>
      </c>
      <c r="L78" s="2" t="n">
        <v>32</v>
      </c>
      <c r="M78" s="2" t="s">
        <v>27</v>
      </c>
      <c r="N78" s="3" t="n">
        <v>14.27</v>
      </c>
      <c r="O78" s="3" t="n">
        <v>-7.6033</v>
      </c>
      <c r="P78" s="3" t="n">
        <v>122.2</v>
      </c>
      <c r="Q78" s="3" t="s">
        <v>255</v>
      </c>
      <c r="R78" s="2" t="s">
        <v>84</v>
      </c>
      <c r="S78" s="2" t="s">
        <v>72</v>
      </c>
      <c r="T78" s="4" t="n">
        <f aca="false">DATE(VALUE(MID(C78,7,4)),VALUE(MID(C78,4,2)),VALUE(MID(C78,1,2)))+TIME(VALUE(MID(C78,12,2)),VALUE(MID(C78,15,2)),0)</f>
        <v>44544.1388888889</v>
      </c>
      <c r="U78" s="2" t="str">
        <f aca="false">IF(AND(ISNUMBER(VALUE(MID(A78,7,1))),ISNUMBER(SEARCH("km",A78)),ISNUMBER(SEARCH("of",A78))),"Distance-location","Named-region")</f>
        <v>Named-region</v>
      </c>
      <c r="V78" s="2" t="str">
        <f aca="false">LOWER(M78)</f>
        <v>mww</v>
      </c>
      <c r="W78" s="5" t="str">
        <f aca="false">IF(COUNTIFS($A$2:$A$1001,A78,$C$2:$C$1001,C78)&gt;1,"Duplicate","Unique")</f>
        <v>Unique</v>
      </c>
    </row>
    <row r="79" customFormat="false" ht="15" hidden="false" customHeight="false" outlineLevel="0" collapsed="false">
      <c r="A79" s="2" t="s">
        <v>256</v>
      </c>
      <c r="B79" s="3" t="n">
        <v>7.5</v>
      </c>
      <c r="C79" s="2" t="s">
        <v>257</v>
      </c>
      <c r="D79" s="2" t="n">
        <v>8</v>
      </c>
      <c r="E79" s="2" t="n">
        <v>8</v>
      </c>
      <c r="F79" s="2" t="s">
        <v>32</v>
      </c>
      <c r="G79" s="2" t="n">
        <v>1</v>
      </c>
      <c r="H79" s="2" t="n">
        <v>1094</v>
      </c>
      <c r="I79" s="2" t="s">
        <v>26</v>
      </c>
      <c r="J79" s="2" t="n">
        <v>0</v>
      </c>
      <c r="K79" s="2" t="n">
        <v>4.951</v>
      </c>
      <c r="L79" s="2" t="n">
        <v>40</v>
      </c>
      <c r="M79" s="2" t="s">
        <v>27</v>
      </c>
      <c r="N79" s="3" t="n">
        <v>126</v>
      </c>
      <c r="O79" s="3" t="n">
        <v>-4.4898</v>
      </c>
      <c r="P79" s="3" t="n">
        <v>-76.8461</v>
      </c>
      <c r="Q79" s="3" t="s">
        <v>230</v>
      </c>
      <c r="R79" s="2" t="s">
        <v>37</v>
      </c>
      <c r="S79" s="2" t="s">
        <v>203</v>
      </c>
      <c r="T79" s="4" t="n">
        <f aca="false">DATE(VALUE(MID(C79,7,4)),VALUE(MID(C79,4,2)),VALUE(MID(C79,1,2)))+TIME(VALUE(MID(C79,12,2)),VALUE(MID(C79,15,2)),0)</f>
        <v>44528.4527777778</v>
      </c>
      <c r="U79" s="2" t="str">
        <f aca="false">IF(AND(ISNUMBER(VALUE(MID(A79,7,1))),ISNUMBER(SEARCH("km",A79)),ISNUMBER(SEARCH("of",A79))),"Distance-location","Named-region")</f>
        <v>Named-region</v>
      </c>
      <c r="V79" s="2" t="str">
        <f aca="false">LOWER(M79)</f>
        <v>mww</v>
      </c>
      <c r="W79" s="5" t="str">
        <f aca="false">IF(COUNTIFS($A$2:$A$1001,A79,$C$2:$C$1001,C79)&gt;1,"Duplicate","Unique")</f>
        <v>Unique</v>
      </c>
    </row>
    <row r="80" customFormat="false" ht="15" hidden="false" customHeight="false" outlineLevel="0" collapsed="false">
      <c r="A80" s="2" t="s">
        <v>258</v>
      </c>
      <c r="B80" s="3" t="n">
        <v>6.6</v>
      </c>
      <c r="C80" s="2" t="s">
        <v>259</v>
      </c>
      <c r="D80" s="2" t="n">
        <v>7</v>
      </c>
      <c r="E80" s="2" t="n">
        <v>4</v>
      </c>
      <c r="F80" s="2" t="s">
        <v>25</v>
      </c>
      <c r="G80" s="2" t="n">
        <v>1</v>
      </c>
      <c r="H80" s="2" t="n">
        <v>688</v>
      </c>
      <c r="I80" s="2" t="s">
        <v>26</v>
      </c>
      <c r="J80" s="2" t="n">
        <v>0</v>
      </c>
      <c r="K80" s="2" t="n">
        <v>3.259</v>
      </c>
      <c r="L80" s="2" t="n">
        <v>15</v>
      </c>
      <c r="M80" s="2" t="s">
        <v>27</v>
      </c>
      <c r="N80" s="3" t="n">
        <v>12</v>
      </c>
      <c r="O80" s="3" t="n">
        <v>23.5414</v>
      </c>
      <c r="P80" s="3" t="n">
        <v>126.48</v>
      </c>
      <c r="Q80" s="3" t="s">
        <v>260</v>
      </c>
      <c r="R80" s="2"/>
      <c r="S80" s="2"/>
      <c r="T80" s="4" t="n">
        <f aca="false">DATE(VALUE(MID(C80,7,4)),VALUE(MID(C80,4,2)),VALUE(MID(C80,1,2)))+TIME(VALUE(MID(C80,12,2)),VALUE(MID(C80,15,2)),0)</f>
        <v>44510.65625</v>
      </c>
      <c r="U80" s="2" t="str">
        <f aca="false">IF(AND(ISNUMBER(VALUE(MID(A80,7,1))),ISNUMBER(SEARCH("km",A80)),ISNUMBER(SEARCH("of",A80))),"Distance-location","Named-region")</f>
        <v>Named-region</v>
      </c>
      <c r="V80" s="2" t="str">
        <f aca="false">LOWER(M80)</f>
        <v>mww</v>
      </c>
      <c r="W80" s="5" t="str">
        <f aca="false">IF(COUNTIFS($A$2:$A$1001,A80,$C$2:$C$1001,C80)&gt;1,"Duplicate","Unique")</f>
        <v>Unique</v>
      </c>
    </row>
    <row r="81" customFormat="false" ht="15" hidden="false" customHeight="false" outlineLevel="0" collapsed="false">
      <c r="A81" s="2" t="s">
        <v>261</v>
      </c>
      <c r="B81" s="3" t="n">
        <v>6.9</v>
      </c>
      <c r="C81" s="2" t="s">
        <v>262</v>
      </c>
      <c r="D81" s="2" t="n">
        <v>8</v>
      </c>
      <c r="E81" s="2" t="n">
        <v>6</v>
      </c>
      <c r="F81" s="2" t="s">
        <v>25</v>
      </c>
      <c r="G81" s="2" t="n">
        <v>1</v>
      </c>
      <c r="H81" s="2" t="n">
        <v>995</v>
      </c>
      <c r="I81" s="2" t="s">
        <v>263</v>
      </c>
      <c r="J81" s="2" t="n">
        <v>0</v>
      </c>
      <c r="K81" s="2" t="n">
        <v>0</v>
      </c>
      <c r="L81" s="2" t="n">
        <v>0</v>
      </c>
      <c r="M81" s="2" t="s">
        <v>27</v>
      </c>
      <c r="N81" s="3" t="n">
        <v>51.6</v>
      </c>
      <c r="O81" s="3" t="n">
        <v>56.2581</v>
      </c>
      <c r="P81" s="3" t="n">
        <v>-156.492</v>
      </c>
      <c r="Q81" s="3" t="s">
        <v>264</v>
      </c>
      <c r="R81" s="2" t="s">
        <v>168</v>
      </c>
      <c r="S81" s="2" t="s">
        <v>265</v>
      </c>
      <c r="T81" s="4" t="n">
        <f aca="false">DATE(VALUE(MID(C81,7,4)),VALUE(MID(C81,4,2)),VALUE(MID(C81,1,2)))+TIME(VALUE(MID(C81,12,2)),VALUE(MID(C81,15,2)),0)</f>
        <v>44480.3819444444</v>
      </c>
      <c r="U81" s="2" t="str">
        <f aca="false">IF(AND(ISNUMBER(VALUE(MID(A81,7,1))),ISNUMBER(SEARCH("km",A81)),ISNUMBER(SEARCH("of",A81))),"Distance-location","Named-region")</f>
        <v>Named-region</v>
      </c>
      <c r="V81" s="2" t="str">
        <f aca="false">LOWER(M81)</f>
        <v>mww</v>
      </c>
      <c r="W81" s="5" t="str">
        <f aca="false">IF(COUNTIFS($A$2:$A$1001,A81,$C$2:$C$1001,C81)&gt;1,"Duplicate","Unique")</f>
        <v>Unique</v>
      </c>
    </row>
    <row r="82" customFormat="false" ht="15" hidden="false" customHeight="false" outlineLevel="0" collapsed="false">
      <c r="A82" s="2" t="s">
        <v>266</v>
      </c>
      <c r="B82" s="3" t="n">
        <v>6.9</v>
      </c>
      <c r="C82" s="2" t="s">
        <v>267</v>
      </c>
      <c r="D82" s="2" t="n">
        <v>4</v>
      </c>
      <c r="E82" s="2" t="n">
        <v>3</v>
      </c>
      <c r="F82" s="2" t="s">
        <v>25</v>
      </c>
      <c r="G82" s="2" t="n">
        <v>1</v>
      </c>
      <c r="H82" s="2" t="n">
        <v>740</v>
      </c>
      <c r="I82" s="2" t="s">
        <v>26</v>
      </c>
      <c r="J82" s="2" t="n">
        <v>0</v>
      </c>
      <c r="K82" s="2" t="n">
        <v>4.778</v>
      </c>
      <c r="L82" s="2" t="n">
        <v>31</v>
      </c>
      <c r="M82" s="2" t="s">
        <v>27</v>
      </c>
      <c r="N82" s="3" t="n">
        <v>535</v>
      </c>
      <c r="O82" s="3" t="n">
        <v>-21.1704</v>
      </c>
      <c r="P82" s="3" t="n">
        <v>174.54</v>
      </c>
      <c r="Q82" s="3" t="s">
        <v>268</v>
      </c>
      <c r="R82" s="2"/>
      <c r="S82" s="2"/>
      <c r="T82" s="4" t="n">
        <f aca="false">DATE(VALUE(MID(C82,7,4)),VALUE(MID(C82,4,2)),VALUE(MID(C82,1,2)))+TIME(VALUE(MID(C82,12,2)),VALUE(MID(C82,15,2)),0)</f>
        <v>44478.4569444444</v>
      </c>
      <c r="U82" s="2" t="str">
        <f aca="false">IF(AND(ISNUMBER(VALUE(MID(A82,7,1))),ISNUMBER(SEARCH("km",A82)),ISNUMBER(SEARCH("of",A82))),"Distance-location","Named-region")</f>
        <v>Named-region</v>
      </c>
      <c r="V82" s="2" t="str">
        <f aca="false">LOWER(M82)</f>
        <v>mww</v>
      </c>
      <c r="W82" s="5" t="str">
        <f aca="false">IF(COUNTIFS($A$2:$A$1001,A82,$C$2:$C$1001,C82)&gt;1,"Duplicate","Unique")</f>
        <v>Unique</v>
      </c>
    </row>
    <row r="83" customFormat="false" ht="15" hidden="false" customHeight="false" outlineLevel="0" collapsed="false">
      <c r="A83" s="2" t="s">
        <v>269</v>
      </c>
      <c r="B83" s="3" t="n">
        <v>7.3</v>
      </c>
      <c r="C83" s="2" t="s">
        <v>270</v>
      </c>
      <c r="D83" s="2" t="n">
        <v>4</v>
      </c>
      <c r="E83" s="2" t="n">
        <v>4</v>
      </c>
      <c r="F83" s="2" t="s">
        <v>25</v>
      </c>
      <c r="G83" s="2" t="n">
        <v>1</v>
      </c>
      <c r="H83" s="2" t="n">
        <v>826</v>
      </c>
      <c r="I83" s="2" t="s">
        <v>26</v>
      </c>
      <c r="J83" s="2" t="n">
        <v>0</v>
      </c>
      <c r="K83" s="2" t="n">
        <v>4.493</v>
      </c>
      <c r="L83" s="2" t="n">
        <v>32</v>
      </c>
      <c r="M83" s="2" t="s">
        <v>27</v>
      </c>
      <c r="N83" s="3" t="n">
        <v>527</v>
      </c>
      <c r="O83" s="3" t="n">
        <v>-21.1036</v>
      </c>
      <c r="P83" s="3" t="n">
        <v>174.895</v>
      </c>
      <c r="Q83" s="3" t="s">
        <v>268</v>
      </c>
      <c r="R83" s="2"/>
      <c r="S83" s="2"/>
      <c r="T83" s="4" t="n">
        <f aca="false">DATE(VALUE(MID(C83,7,4)),VALUE(MID(C83,4,2)),VALUE(MID(C83,1,2)))+TIME(VALUE(MID(C83,12,2)),VALUE(MID(C83,15,2)),0)</f>
        <v>44471.2701388889</v>
      </c>
      <c r="U83" s="2" t="str">
        <f aca="false">IF(AND(ISNUMBER(VALUE(MID(A83,7,1))),ISNUMBER(SEARCH("km",A83)),ISNUMBER(SEARCH("of",A83))),"Distance-location","Named-region")</f>
        <v>Named-region</v>
      </c>
      <c r="V83" s="2" t="str">
        <f aca="false">LOWER(M83)</f>
        <v>mww</v>
      </c>
      <c r="W83" s="5" t="str">
        <f aca="false">IF(COUNTIFS($A$2:$A$1001,A83,$C$2:$C$1001,C83)&gt;1,"Duplicate","Unique")</f>
        <v>Unique</v>
      </c>
    </row>
    <row r="84" customFormat="false" ht="15" hidden="false" customHeight="false" outlineLevel="0" collapsed="false">
      <c r="A84" s="2" t="s">
        <v>271</v>
      </c>
      <c r="B84" s="3" t="n">
        <v>6.5</v>
      </c>
      <c r="C84" s="2" t="s">
        <v>272</v>
      </c>
      <c r="D84" s="2" t="n">
        <v>7</v>
      </c>
      <c r="E84" s="2" t="n">
        <v>5</v>
      </c>
      <c r="F84" s="2" t="s">
        <v>25</v>
      </c>
      <c r="G84" s="2" t="n">
        <v>1</v>
      </c>
      <c r="H84" s="2" t="n">
        <v>684</v>
      </c>
      <c r="I84" s="2" t="s">
        <v>26</v>
      </c>
      <c r="J84" s="2" t="n">
        <v>0</v>
      </c>
      <c r="K84" s="2" t="n">
        <v>0.993</v>
      </c>
      <c r="L84" s="2" t="n">
        <v>114</v>
      </c>
      <c r="M84" s="2" t="s">
        <v>27</v>
      </c>
      <c r="N84" s="3" t="n">
        <v>21</v>
      </c>
      <c r="O84" s="3" t="n">
        <v>12.1598</v>
      </c>
      <c r="P84" s="3" t="n">
        <v>-87.8542</v>
      </c>
      <c r="Q84" s="3" t="s">
        <v>273</v>
      </c>
      <c r="R84" s="2"/>
      <c r="S84" s="2"/>
      <c r="T84" s="4" t="n">
        <f aca="false">DATE(VALUE(MID(C84,7,4)),VALUE(MID(C84,4,2)),VALUE(MID(C84,1,2)))+TIME(VALUE(MID(C84,12,2)),VALUE(MID(C84,15,2)),0)</f>
        <v>44461.4145833333</v>
      </c>
      <c r="U84" s="2" t="str">
        <f aca="false">IF(AND(ISNUMBER(VALUE(MID(A84,7,1))),ISNUMBER(SEARCH("km",A84)),ISNUMBER(SEARCH("of",A84))),"Distance-location","Named-region")</f>
        <v>Named-region</v>
      </c>
      <c r="V84" s="2" t="str">
        <f aca="false">LOWER(M84)</f>
        <v>mww</v>
      </c>
      <c r="W84" s="5" t="str">
        <f aca="false">IF(COUNTIFS($A$2:$A$1001,A84,$C$2:$C$1001,C84)&gt;1,"Duplicate","Unique")</f>
        <v>Unique</v>
      </c>
    </row>
    <row r="85" customFormat="false" ht="15" hidden="false" customHeight="false" outlineLevel="0" collapsed="false">
      <c r="A85" s="2" t="s">
        <v>274</v>
      </c>
      <c r="B85" s="3" t="n">
        <v>7</v>
      </c>
      <c r="C85" s="2" t="s">
        <v>275</v>
      </c>
      <c r="D85" s="2" t="n">
        <v>8</v>
      </c>
      <c r="E85" s="2" t="n">
        <v>8</v>
      </c>
      <c r="F85" s="2" t="s">
        <v>125</v>
      </c>
      <c r="G85" s="2" t="n">
        <v>1</v>
      </c>
      <c r="H85" s="2" t="n">
        <v>2504</v>
      </c>
      <c r="I85" s="2" t="s">
        <v>26</v>
      </c>
      <c r="J85" s="2" t="n">
        <v>0</v>
      </c>
      <c r="K85" s="2" t="n">
        <v>0.07</v>
      </c>
      <c r="L85" s="2" t="n">
        <v>43</v>
      </c>
      <c r="M85" s="2" t="s">
        <v>27</v>
      </c>
      <c r="N85" s="3" t="n">
        <v>20</v>
      </c>
      <c r="O85" s="3" t="n">
        <v>16.9502</v>
      </c>
      <c r="P85" s="3" t="n">
        <v>-99.7877</v>
      </c>
      <c r="Q85" s="3" t="s">
        <v>276</v>
      </c>
      <c r="R85" s="2" t="s">
        <v>168</v>
      </c>
      <c r="S85" s="2" t="s">
        <v>169</v>
      </c>
      <c r="T85" s="4" t="n">
        <f aca="false">DATE(VALUE(MID(C85,7,4)),VALUE(MID(C85,4,2)),VALUE(MID(C85,1,2)))+TIME(VALUE(MID(C85,12,2)),VALUE(MID(C85,15,2)),0)</f>
        <v>44447.0743055556</v>
      </c>
      <c r="U85" s="2" t="str">
        <f aca="false">IF(AND(ISNUMBER(VALUE(MID(A85,7,1))),ISNUMBER(SEARCH("km",A85)),ISNUMBER(SEARCH("of",A85))),"Distance-location","Named-region")</f>
        <v>Named-region</v>
      </c>
      <c r="V85" s="2" t="str">
        <f aca="false">LOWER(M85)</f>
        <v>mww</v>
      </c>
      <c r="W85" s="5" t="str">
        <f aca="false">IF(COUNTIFS($A$2:$A$1001,A85,$C$2:$C$1001,C85)&gt;1,"Duplicate","Unique")</f>
        <v>Unique</v>
      </c>
    </row>
    <row r="86" customFormat="false" ht="15" hidden="false" customHeight="false" outlineLevel="0" collapsed="false">
      <c r="A86" s="2" t="s">
        <v>277</v>
      </c>
      <c r="B86" s="3" t="n">
        <v>7.1</v>
      </c>
      <c r="C86" s="2" t="s">
        <v>278</v>
      </c>
      <c r="D86" s="2" t="n">
        <v>1</v>
      </c>
      <c r="E86" s="2" t="n">
        <v>4</v>
      </c>
      <c r="F86" s="2" t="s">
        <v>25</v>
      </c>
      <c r="G86" s="2" t="n">
        <v>1</v>
      </c>
      <c r="H86" s="2" t="n">
        <v>776</v>
      </c>
      <c r="I86" s="2" t="s">
        <v>26</v>
      </c>
      <c r="J86" s="2" t="n">
        <v>0</v>
      </c>
      <c r="K86" s="2" t="n">
        <v>9.799</v>
      </c>
      <c r="L86" s="2" t="n">
        <v>32</v>
      </c>
      <c r="M86" s="2" t="s">
        <v>27</v>
      </c>
      <c r="N86" s="3" t="n">
        <v>6</v>
      </c>
      <c r="O86" s="3" t="n">
        <v>-60.3026</v>
      </c>
      <c r="P86" s="3" t="n">
        <v>-24.9992</v>
      </c>
      <c r="Q86" s="3" t="s">
        <v>279</v>
      </c>
      <c r="R86" s="2"/>
      <c r="S86" s="2" t="s">
        <v>280</v>
      </c>
      <c r="T86" s="4" t="n">
        <f aca="false">DATE(VALUE(MID(C86,7,4)),VALUE(MID(C86,4,2)),VALUE(MID(C86,1,2)))+TIME(VALUE(MID(C86,12,2)),VALUE(MID(C86,15,2)),0)</f>
        <v>44430.8979166667</v>
      </c>
      <c r="U86" s="2" t="str">
        <f aca="false">IF(AND(ISNUMBER(VALUE(MID(A86,7,1))),ISNUMBER(SEARCH("km",A86)),ISNUMBER(SEARCH("of",A86))),"Distance-location","Named-region")</f>
        <v>Named-region</v>
      </c>
      <c r="V86" s="2" t="str">
        <f aca="false">LOWER(M86)</f>
        <v>mww</v>
      </c>
      <c r="W86" s="5" t="str">
        <f aca="false">IF(COUNTIFS($A$2:$A$1001,A86,$C$2:$C$1001,C86)&gt;1,"Duplicate","Unique")</f>
        <v>Unique</v>
      </c>
    </row>
    <row r="87" customFormat="false" ht="15" hidden="false" customHeight="false" outlineLevel="0" collapsed="false">
      <c r="A87" s="2" t="s">
        <v>281</v>
      </c>
      <c r="B87" s="3" t="n">
        <v>6.6</v>
      </c>
      <c r="C87" s="2" t="s">
        <v>282</v>
      </c>
      <c r="D87" s="2" t="n">
        <v>1</v>
      </c>
      <c r="E87" s="2" t="n">
        <v>3</v>
      </c>
      <c r="F87" s="2" t="s">
        <v>25</v>
      </c>
      <c r="G87" s="2" t="n">
        <v>1</v>
      </c>
      <c r="H87" s="2" t="n">
        <v>670</v>
      </c>
      <c r="I87" s="2" t="s">
        <v>26</v>
      </c>
      <c r="J87" s="2" t="n">
        <v>0</v>
      </c>
      <c r="K87" s="2" t="n">
        <v>8.865</v>
      </c>
      <c r="L87" s="2" t="n">
        <v>19</v>
      </c>
      <c r="M87" s="2" t="s">
        <v>27</v>
      </c>
      <c r="N87" s="3" t="n">
        <v>7</v>
      </c>
      <c r="O87" s="3" t="n">
        <v>-60.1023</v>
      </c>
      <c r="P87" s="3" t="n">
        <v>-24.4608</v>
      </c>
      <c r="Q87" s="3" t="s">
        <v>279</v>
      </c>
      <c r="R87" s="2"/>
      <c r="S87" s="2" t="s">
        <v>280</v>
      </c>
      <c r="T87" s="4" t="n">
        <f aca="false">DATE(VALUE(MID(C87,7,4)),VALUE(MID(C87,4,2)),VALUE(MID(C87,1,2)))+TIME(VALUE(MID(C87,12,2)),VALUE(MID(C87,15,2)),0)</f>
        <v>44430.03125</v>
      </c>
      <c r="U87" s="2" t="str">
        <f aca="false">IF(AND(ISNUMBER(VALUE(MID(A87,7,1))),ISNUMBER(SEARCH("km",A87)),ISNUMBER(SEARCH("of",A87))),"Distance-location","Named-region")</f>
        <v>Named-region</v>
      </c>
      <c r="V87" s="2" t="str">
        <f aca="false">LOWER(M87)</f>
        <v>mww</v>
      </c>
      <c r="W87" s="5" t="str">
        <f aca="false">IF(COUNTIFS($A$2:$A$1001,A87,$C$2:$C$1001,C87)&gt;1,"Duplicate","Unique")</f>
        <v>Unique</v>
      </c>
    </row>
    <row r="88" customFormat="false" ht="15" hidden="false" customHeight="false" outlineLevel="0" collapsed="false">
      <c r="A88" s="2" t="s">
        <v>283</v>
      </c>
      <c r="B88" s="3" t="n">
        <v>6.9</v>
      </c>
      <c r="C88" s="2" t="s">
        <v>284</v>
      </c>
      <c r="D88" s="2" t="n">
        <v>8</v>
      </c>
      <c r="E88" s="2" t="n">
        <v>7</v>
      </c>
      <c r="F88" s="2" t="s">
        <v>25</v>
      </c>
      <c r="G88" s="2" t="n">
        <v>1</v>
      </c>
      <c r="H88" s="2" t="n">
        <v>741</v>
      </c>
      <c r="I88" s="2" t="s">
        <v>26</v>
      </c>
      <c r="J88" s="2" t="n">
        <v>0</v>
      </c>
      <c r="K88" s="2" t="n">
        <v>0.579</v>
      </c>
      <c r="L88" s="2" t="n">
        <v>54</v>
      </c>
      <c r="M88" s="2" t="s">
        <v>27</v>
      </c>
      <c r="N88" s="3" t="n">
        <v>93</v>
      </c>
      <c r="O88" s="3" t="n">
        <v>-14.892</v>
      </c>
      <c r="P88" s="3" t="n">
        <v>167.085</v>
      </c>
      <c r="Q88" s="3" t="s">
        <v>108</v>
      </c>
      <c r="R88" s="2" t="s">
        <v>143</v>
      </c>
      <c r="S88" s="2" t="s">
        <v>29</v>
      </c>
      <c r="T88" s="4" t="n">
        <f aca="false">DATE(VALUE(MID(C88,7,4)),VALUE(MID(C88,4,2)),VALUE(MID(C88,1,2)))+TIME(VALUE(MID(C88,12,2)),VALUE(MID(C88,15,2)),0)</f>
        <v>44426.4236111111</v>
      </c>
      <c r="U88" s="2" t="str">
        <f aca="false">IF(AND(ISNUMBER(VALUE(MID(A88,7,1))),ISNUMBER(SEARCH("km",A88)),ISNUMBER(SEARCH("of",A88))),"Distance-location","Named-region")</f>
        <v>Named-region</v>
      </c>
      <c r="V88" s="2" t="str">
        <f aca="false">LOWER(M88)</f>
        <v>mww</v>
      </c>
      <c r="W88" s="5" t="str">
        <f aca="false">IF(COUNTIFS($A$2:$A$1001,A88,$C$2:$C$1001,C88)&gt;1,"Duplicate","Unique")</f>
        <v>Unique</v>
      </c>
    </row>
    <row r="89" customFormat="false" ht="15" hidden="false" customHeight="false" outlineLevel="0" collapsed="false">
      <c r="A89" s="2" t="s">
        <v>285</v>
      </c>
      <c r="B89" s="3" t="n">
        <v>6.9</v>
      </c>
      <c r="C89" s="2" t="s">
        <v>286</v>
      </c>
      <c r="D89" s="2" t="n">
        <v>6</v>
      </c>
      <c r="E89" s="2" t="n">
        <v>4</v>
      </c>
      <c r="F89" s="2" t="s">
        <v>25</v>
      </c>
      <c r="G89" s="2" t="n">
        <v>1</v>
      </c>
      <c r="H89" s="2" t="n">
        <v>734</v>
      </c>
      <c r="I89" s="2" t="s">
        <v>26</v>
      </c>
      <c r="J89" s="2" t="n">
        <v>0</v>
      </c>
      <c r="K89" s="2" t="n">
        <v>8.363</v>
      </c>
      <c r="L89" s="2" t="n">
        <v>48</v>
      </c>
      <c r="M89" s="2" t="s">
        <v>27</v>
      </c>
      <c r="N89" s="3" t="n">
        <v>16.7</v>
      </c>
      <c r="O89" s="3" t="n">
        <v>-58.3814</v>
      </c>
      <c r="P89" s="3" t="n">
        <v>-23.3318</v>
      </c>
      <c r="Q89" s="3" t="s">
        <v>279</v>
      </c>
      <c r="R89" s="2"/>
      <c r="S89" s="2"/>
      <c r="T89" s="4" t="n">
        <f aca="false">DATE(VALUE(MID(C89,7,4)),VALUE(MID(C89,4,2)),VALUE(MID(C89,1,2)))+TIME(VALUE(MID(C89,12,2)),VALUE(MID(C89,15,2)),0)</f>
        <v>44424.4652777778</v>
      </c>
      <c r="U89" s="2" t="str">
        <f aca="false">IF(AND(ISNUMBER(VALUE(MID(A89,7,1))),ISNUMBER(SEARCH("km",A89)),ISNUMBER(SEARCH("of",A89))),"Distance-location","Named-region")</f>
        <v>Named-region</v>
      </c>
      <c r="V89" s="2" t="str">
        <f aca="false">LOWER(M89)</f>
        <v>mww</v>
      </c>
      <c r="W89" s="5" t="str">
        <f aca="false">IF(COUNTIFS($A$2:$A$1001,A89,$C$2:$C$1001,C89)&gt;1,"Duplicate","Unique")</f>
        <v>Unique</v>
      </c>
    </row>
    <row r="90" customFormat="false" ht="15" hidden="false" customHeight="false" outlineLevel="0" collapsed="false">
      <c r="A90" s="2" t="s">
        <v>287</v>
      </c>
      <c r="B90" s="3" t="n">
        <v>7.2</v>
      </c>
      <c r="C90" s="2" t="s">
        <v>288</v>
      </c>
      <c r="D90" s="2" t="n">
        <v>9</v>
      </c>
      <c r="E90" s="2" t="n">
        <v>8</v>
      </c>
      <c r="F90" s="2" t="s">
        <v>125</v>
      </c>
      <c r="G90" s="2" t="n">
        <v>1</v>
      </c>
      <c r="H90" s="2" t="n">
        <v>2331</v>
      </c>
      <c r="I90" s="2" t="s">
        <v>26</v>
      </c>
      <c r="J90" s="2" t="n">
        <v>0</v>
      </c>
      <c r="K90" s="2" t="n">
        <v>1.178</v>
      </c>
      <c r="L90" s="2" t="n">
        <v>23</v>
      </c>
      <c r="M90" s="2" t="s">
        <v>27</v>
      </c>
      <c r="N90" s="3" t="n">
        <v>10</v>
      </c>
      <c r="O90" s="3" t="n">
        <v>18.3521</v>
      </c>
      <c r="P90" s="3" t="n">
        <v>-73.4804</v>
      </c>
      <c r="Q90" s="3" t="s">
        <v>289</v>
      </c>
      <c r="R90" s="2" t="s">
        <v>168</v>
      </c>
      <c r="S90" s="2" t="s">
        <v>290</v>
      </c>
      <c r="T90" s="4" t="n">
        <f aca="false">DATE(VALUE(MID(C90,7,4)),VALUE(MID(C90,4,2)),VALUE(MID(C90,1,2)))+TIME(VALUE(MID(C90,12,2)),VALUE(MID(C90,15,2)),0)</f>
        <v>44422.5201388889</v>
      </c>
      <c r="U90" s="2" t="str">
        <f aca="false">IF(AND(ISNUMBER(VALUE(MID(A90,7,1))),ISNUMBER(SEARCH("km",A90)),ISNUMBER(SEARCH("of",A90))),"Distance-location","Named-region")</f>
        <v>Named-region</v>
      </c>
      <c r="V90" s="2" t="str">
        <f aca="false">LOWER(M90)</f>
        <v>mww</v>
      </c>
      <c r="W90" s="5" t="str">
        <f aca="false">IF(COUNTIFS($A$2:$A$1001,A90,$C$2:$C$1001,C90)&gt;1,"Duplicate","Unique")</f>
        <v>Unique</v>
      </c>
    </row>
    <row r="91" customFormat="false" ht="15" hidden="false" customHeight="false" outlineLevel="0" collapsed="false">
      <c r="A91" s="2" t="s">
        <v>291</v>
      </c>
      <c r="B91" s="3" t="n">
        <v>6.9</v>
      </c>
      <c r="C91" s="2" t="s">
        <v>292</v>
      </c>
      <c r="D91" s="2" t="n">
        <v>5</v>
      </c>
      <c r="E91" s="2" t="n">
        <v>4</v>
      </c>
      <c r="F91" s="2" t="s">
        <v>25</v>
      </c>
      <c r="G91" s="2" t="n">
        <v>1</v>
      </c>
      <c r="H91" s="2" t="n">
        <v>738</v>
      </c>
      <c r="I91" s="2" t="s">
        <v>263</v>
      </c>
      <c r="J91" s="2" t="n">
        <v>0</v>
      </c>
      <c r="K91" s="2" t="n">
        <v>0</v>
      </c>
      <c r="L91" s="2" t="n">
        <v>0</v>
      </c>
      <c r="M91" s="2" t="s">
        <v>27</v>
      </c>
      <c r="N91" s="3" t="n">
        <v>33.3</v>
      </c>
      <c r="O91" s="3" t="n">
        <v>55.2364</v>
      </c>
      <c r="P91" s="3" t="n">
        <v>-157.707</v>
      </c>
      <c r="Q91" s="3" t="s">
        <v>293</v>
      </c>
      <c r="R91" s="2"/>
      <c r="S91" s="2"/>
      <c r="T91" s="4" t="n">
        <f aca="false">DATE(VALUE(MID(C91,7,4)),VALUE(MID(C91,4,2)),VALUE(MID(C91,1,2)))+TIME(VALUE(MID(C91,12,2)),VALUE(MID(C91,15,2)),0)</f>
        <v>44422.4979166667</v>
      </c>
      <c r="U91" s="2" t="str">
        <f aca="false">IF(AND(ISNUMBER(VALUE(MID(A91,7,1))),ISNUMBER(SEARCH("km",A91)),ISNUMBER(SEARCH("of",A91))),"Distance-location","Named-region")</f>
        <v>Named-region</v>
      </c>
      <c r="V91" s="2" t="str">
        <f aca="false">LOWER(M91)</f>
        <v>mww</v>
      </c>
      <c r="W91" s="5" t="str">
        <f aca="false">IF(COUNTIFS($A$2:$A$1001,A91,$C$2:$C$1001,C91)&gt;1,"Duplicate","Unique")</f>
        <v>Unique</v>
      </c>
    </row>
    <row r="92" customFormat="false" ht="15" hidden="false" customHeight="false" outlineLevel="0" collapsed="false">
      <c r="A92" s="2" t="s">
        <v>294</v>
      </c>
      <c r="B92" s="3" t="n">
        <v>6.9</v>
      </c>
      <c r="C92" s="2" t="s">
        <v>292</v>
      </c>
      <c r="D92" s="2" t="n">
        <v>5</v>
      </c>
      <c r="E92" s="2" t="n">
        <v>4</v>
      </c>
      <c r="F92" s="2" t="s">
        <v>25</v>
      </c>
      <c r="G92" s="2" t="n">
        <v>1</v>
      </c>
      <c r="H92" s="2" t="n">
        <v>738</v>
      </c>
      <c r="I92" s="2" t="s">
        <v>26</v>
      </c>
      <c r="J92" s="2" t="n">
        <v>0</v>
      </c>
      <c r="K92" s="2" t="n">
        <v>1.173</v>
      </c>
      <c r="L92" s="2" t="n">
        <v>36</v>
      </c>
      <c r="M92" s="2" t="s">
        <v>27</v>
      </c>
      <c r="N92" s="3" t="n">
        <v>20.74</v>
      </c>
      <c r="O92" s="3" t="n">
        <v>55.2657</v>
      </c>
      <c r="P92" s="3" t="n">
        <v>-157.68</v>
      </c>
      <c r="Q92" s="3" t="s">
        <v>293</v>
      </c>
      <c r="R92" s="2"/>
      <c r="S92" s="2"/>
      <c r="T92" s="4" t="n">
        <f aca="false">DATE(VALUE(MID(C92,7,4)),VALUE(MID(C92,4,2)),VALUE(MID(C92,1,2)))+TIME(VALUE(MID(C92,12,2)),VALUE(MID(C92,15,2)),0)</f>
        <v>44422.4979166667</v>
      </c>
      <c r="U92" s="2" t="str">
        <f aca="false">IF(AND(ISNUMBER(VALUE(MID(A92,7,1))),ISNUMBER(SEARCH("km",A92)),ISNUMBER(SEARCH("of",A92))),"Distance-location","Named-region")</f>
        <v>Named-region</v>
      </c>
      <c r="V92" s="2" t="str">
        <f aca="false">LOWER(M92)</f>
        <v>mww</v>
      </c>
      <c r="W92" s="5" t="str">
        <f aca="false">IF(COUNTIFS($A$2:$A$1001,A92,$C$2:$C$1001,C92)&gt;1,"Duplicate","Unique")</f>
        <v>Unique</v>
      </c>
    </row>
    <row r="93" customFormat="false" ht="15" hidden="false" customHeight="false" outlineLevel="0" collapsed="false">
      <c r="A93" s="2" t="s">
        <v>295</v>
      </c>
      <c r="B93" s="3" t="n">
        <v>8.1</v>
      </c>
      <c r="C93" s="2" t="s">
        <v>296</v>
      </c>
      <c r="D93" s="2" t="n">
        <v>0</v>
      </c>
      <c r="E93" s="2" t="n">
        <v>7</v>
      </c>
      <c r="F93" s="2" t="s">
        <v>25</v>
      </c>
      <c r="G93" s="2" t="n">
        <v>0</v>
      </c>
      <c r="H93" s="2" t="n">
        <v>1009</v>
      </c>
      <c r="I93" s="2" t="s">
        <v>26</v>
      </c>
      <c r="J93" s="2" t="n">
        <v>0</v>
      </c>
      <c r="K93" s="2" t="n">
        <v>7.463</v>
      </c>
      <c r="L93" s="2" t="n">
        <v>78</v>
      </c>
      <c r="M93" s="2" t="s">
        <v>27</v>
      </c>
      <c r="N93" s="3" t="n">
        <v>22.79</v>
      </c>
      <c r="O93" s="3" t="n">
        <v>-58.4157</v>
      </c>
      <c r="P93" s="3" t="n">
        <v>-25.3206</v>
      </c>
      <c r="Q93" s="3" t="s">
        <v>279</v>
      </c>
      <c r="R93" s="2"/>
      <c r="S93" s="2"/>
      <c r="T93" s="4" t="n">
        <f aca="false">DATE(VALUE(MID(C93,7,4)),VALUE(MID(C93,4,2)),VALUE(MID(C93,1,2)))+TIME(VALUE(MID(C93,12,2)),VALUE(MID(C93,15,2)),0)</f>
        <v>44420.7743055556</v>
      </c>
      <c r="U93" s="2" t="str">
        <f aca="false">IF(AND(ISNUMBER(VALUE(MID(A93,7,1))),ISNUMBER(SEARCH("km",A93)),ISNUMBER(SEARCH("of",A93))),"Distance-location","Named-region")</f>
        <v>Named-region</v>
      </c>
      <c r="V93" s="2" t="str">
        <f aca="false">LOWER(M93)</f>
        <v>mww</v>
      </c>
      <c r="W93" s="5" t="str">
        <f aca="false">IF(COUNTIFS($A$2:$A$1001,A93,$C$2:$C$1001,C93)&gt;1,"Duplicate","Unique")</f>
        <v>Unique</v>
      </c>
    </row>
    <row r="94" customFormat="false" ht="15" hidden="false" customHeight="false" outlineLevel="0" collapsed="false">
      <c r="A94" s="2" t="s">
        <v>297</v>
      </c>
      <c r="B94" s="3" t="n">
        <v>7.5</v>
      </c>
      <c r="C94" s="2" t="s">
        <v>298</v>
      </c>
      <c r="D94" s="2" t="n">
        <v>9</v>
      </c>
      <c r="E94" s="2" t="n">
        <v>6</v>
      </c>
      <c r="F94" s="2" t="s">
        <v>25</v>
      </c>
      <c r="G94" s="2" t="n">
        <v>1</v>
      </c>
      <c r="H94" s="2" t="n">
        <v>868</v>
      </c>
      <c r="I94" s="2" t="s">
        <v>26</v>
      </c>
      <c r="J94" s="2" t="n">
        <v>0</v>
      </c>
      <c r="K94" s="2" t="n">
        <v>7.227</v>
      </c>
      <c r="L94" s="2" t="n">
        <v>38</v>
      </c>
      <c r="M94" s="2" t="s">
        <v>27</v>
      </c>
      <c r="N94" s="3" t="n">
        <v>47.23</v>
      </c>
      <c r="O94" s="3" t="n">
        <v>-57.5959</v>
      </c>
      <c r="P94" s="3" t="n">
        <v>-25.1874</v>
      </c>
      <c r="Q94" s="3" t="s">
        <v>279</v>
      </c>
      <c r="R94" s="2"/>
      <c r="S94" s="2"/>
      <c r="T94" s="4" t="n">
        <f aca="false">DATE(VALUE(MID(C94,7,4)),VALUE(MID(C94,4,2)),VALUE(MID(C94,1,2)))+TIME(VALUE(MID(C94,12,2)),VALUE(MID(C94,15,2)),0)</f>
        <v>44420.7722222222</v>
      </c>
      <c r="U94" s="2" t="str">
        <f aca="false">IF(AND(ISNUMBER(VALUE(MID(A94,7,1))),ISNUMBER(SEARCH("km",A94)),ISNUMBER(SEARCH("of",A94))),"Distance-location","Named-region")</f>
        <v>Named-region</v>
      </c>
      <c r="V94" s="2" t="str">
        <f aca="false">LOWER(M94)</f>
        <v>mww</v>
      </c>
      <c r="W94" s="5" t="str">
        <f aca="false">IF(COUNTIFS($A$2:$A$1001,A94,$C$2:$C$1001,C94)&gt;1,"Duplicate","Unique")</f>
        <v>Unique</v>
      </c>
    </row>
    <row r="95" customFormat="false" ht="15" hidden="false" customHeight="false" outlineLevel="0" collapsed="false">
      <c r="A95" s="2" t="s">
        <v>299</v>
      </c>
      <c r="B95" s="3" t="n">
        <v>7.1</v>
      </c>
      <c r="C95" s="2" t="s">
        <v>300</v>
      </c>
      <c r="D95" s="2" t="n">
        <v>9</v>
      </c>
      <c r="E95" s="2" t="n">
        <v>7</v>
      </c>
      <c r="F95" s="2" t="s">
        <v>25</v>
      </c>
      <c r="G95" s="2" t="n">
        <v>1</v>
      </c>
      <c r="H95" s="2" t="n">
        <v>846</v>
      </c>
      <c r="I95" s="2" t="s">
        <v>26</v>
      </c>
      <c r="J95" s="2" t="n">
        <v>0</v>
      </c>
      <c r="K95" s="2" t="n">
        <v>1.273</v>
      </c>
      <c r="L95" s="2" t="n">
        <v>25</v>
      </c>
      <c r="M95" s="2" t="s">
        <v>27</v>
      </c>
      <c r="N95" s="3" t="n">
        <v>55.14</v>
      </c>
      <c r="O95" s="3" t="n">
        <v>6.4547</v>
      </c>
      <c r="P95" s="3" t="n">
        <v>126.742</v>
      </c>
      <c r="Q95" s="3" t="s">
        <v>301</v>
      </c>
      <c r="R95" s="2"/>
      <c r="S95" s="2"/>
      <c r="T95" s="4" t="n">
        <f aca="false">DATE(VALUE(MID(C95,7,4)),VALUE(MID(C95,4,2)),VALUE(MID(C95,1,2)))+TIME(VALUE(MID(C95,12,2)),VALUE(MID(C95,15,2)),0)</f>
        <v>44419.7402777778</v>
      </c>
      <c r="U95" s="2" t="str">
        <f aca="false">IF(AND(ISNUMBER(VALUE(MID(A95,7,1))),ISNUMBER(SEARCH("km",A95)),ISNUMBER(SEARCH("of",A95))),"Distance-location","Named-region")</f>
        <v>Named-region</v>
      </c>
      <c r="V95" s="2" t="str">
        <f aca="false">LOWER(M95)</f>
        <v>mww</v>
      </c>
      <c r="W95" s="5" t="str">
        <f aca="false">IF(COUNTIFS($A$2:$A$1001,A95,$C$2:$C$1001,C95)&gt;1,"Duplicate","Unique")</f>
        <v>Unique</v>
      </c>
    </row>
    <row r="96" customFormat="false" ht="15" hidden="false" customHeight="false" outlineLevel="0" collapsed="false">
      <c r="A96" s="2" t="s">
        <v>302</v>
      </c>
      <c r="B96" s="3" t="n">
        <v>8.2</v>
      </c>
      <c r="C96" s="2" t="s">
        <v>303</v>
      </c>
      <c r="D96" s="2" t="n">
        <v>8</v>
      </c>
      <c r="E96" s="2" t="n">
        <v>6</v>
      </c>
      <c r="F96" s="2" t="s">
        <v>25</v>
      </c>
      <c r="G96" s="2" t="n">
        <v>1</v>
      </c>
      <c r="H96" s="2" t="n">
        <v>1237</v>
      </c>
      <c r="I96" s="2" t="s">
        <v>26</v>
      </c>
      <c r="J96" s="2" t="n">
        <v>0</v>
      </c>
      <c r="K96" s="2" t="n">
        <v>0.875</v>
      </c>
      <c r="L96" s="2" t="n">
        <v>66</v>
      </c>
      <c r="M96" s="2" t="s">
        <v>27</v>
      </c>
      <c r="N96" s="3" t="n">
        <v>46.66</v>
      </c>
      <c r="O96" s="3" t="n">
        <v>55.4742</v>
      </c>
      <c r="P96" s="3" t="n">
        <v>-157.917</v>
      </c>
      <c r="Q96" s="3" t="s">
        <v>293</v>
      </c>
      <c r="R96" s="2"/>
      <c r="S96" s="2"/>
      <c r="T96" s="4" t="n">
        <f aca="false">DATE(VALUE(MID(C96,7,4)),VALUE(MID(C96,4,2)),VALUE(MID(C96,1,2)))+TIME(VALUE(MID(C96,12,2)),VALUE(MID(C96,15,2)),0)</f>
        <v>44406.2604166667</v>
      </c>
      <c r="U96" s="2" t="str">
        <f aca="false">IF(AND(ISNUMBER(VALUE(MID(A96,7,1))),ISNUMBER(SEARCH("km",A96)),ISNUMBER(SEARCH("of",A96))),"Distance-location","Named-region")</f>
        <v>Named-region</v>
      </c>
      <c r="V96" s="2" t="str">
        <f aca="false">LOWER(M96)</f>
        <v>mww</v>
      </c>
      <c r="W96" s="5" t="str">
        <f aca="false">IF(COUNTIFS($A$2:$A$1001,A96,$C$2:$C$1001,C96)&gt;1,"Duplicate","Unique")</f>
        <v>Unique</v>
      </c>
    </row>
    <row r="97" customFormat="false" ht="15" hidden="false" customHeight="false" outlineLevel="0" collapsed="false">
      <c r="A97" s="2" t="s">
        <v>304</v>
      </c>
      <c r="B97" s="3" t="n">
        <v>8.2</v>
      </c>
      <c r="C97" s="2" t="s">
        <v>303</v>
      </c>
      <c r="D97" s="2" t="n">
        <v>8</v>
      </c>
      <c r="E97" s="2" t="n">
        <v>7</v>
      </c>
      <c r="F97" s="2" t="s">
        <v>32</v>
      </c>
      <c r="G97" s="2" t="n">
        <v>1</v>
      </c>
      <c r="H97" s="2" t="n">
        <v>1252</v>
      </c>
      <c r="I97" s="2" t="s">
        <v>263</v>
      </c>
      <c r="J97" s="2" t="n">
        <v>0</v>
      </c>
      <c r="K97" s="2" t="n">
        <v>0</v>
      </c>
      <c r="L97" s="2" t="n">
        <v>0</v>
      </c>
      <c r="M97" s="2" t="s">
        <v>27</v>
      </c>
      <c r="N97" s="3" t="n">
        <v>35</v>
      </c>
      <c r="O97" s="3" t="n">
        <v>55.3154</v>
      </c>
      <c r="P97" s="3" t="n">
        <v>-157.829</v>
      </c>
      <c r="Q97" s="3" t="s">
        <v>293</v>
      </c>
      <c r="R97" s="2"/>
      <c r="S97" s="2"/>
      <c r="T97" s="4" t="n">
        <f aca="false">DATE(VALUE(MID(C97,7,4)),VALUE(MID(C97,4,2)),VALUE(MID(C97,1,2)))+TIME(VALUE(MID(C97,12,2)),VALUE(MID(C97,15,2)),0)</f>
        <v>44406.2604166667</v>
      </c>
      <c r="U97" s="2" t="str">
        <f aca="false">IF(AND(ISNUMBER(VALUE(MID(A97,7,1))),ISNUMBER(SEARCH("km",A97)),ISNUMBER(SEARCH("of",A97))),"Distance-location","Named-region")</f>
        <v>Named-region</v>
      </c>
      <c r="V97" s="2" t="str">
        <f aca="false">LOWER(M97)</f>
        <v>mww</v>
      </c>
      <c r="W97" s="5" t="str">
        <f aca="false">IF(COUNTIFS($A$2:$A$1001,A97,$C$2:$C$1001,C97)&gt;1,"Duplicate","Unique")</f>
        <v>Unique</v>
      </c>
    </row>
    <row r="98" customFormat="false" ht="15" hidden="false" customHeight="false" outlineLevel="0" collapsed="false">
      <c r="A98" s="2" t="s">
        <v>305</v>
      </c>
      <c r="B98" s="3" t="n">
        <v>6.7</v>
      </c>
      <c r="C98" s="2" t="s">
        <v>306</v>
      </c>
      <c r="D98" s="2" t="n">
        <v>8</v>
      </c>
      <c r="E98" s="2" t="n">
        <v>5</v>
      </c>
      <c r="F98" s="2" t="s">
        <v>25</v>
      </c>
      <c r="G98" s="2" t="n">
        <v>1</v>
      </c>
      <c r="H98" s="2" t="n">
        <v>935</v>
      </c>
      <c r="I98" s="2" t="s">
        <v>26</v>
      </c>
      <c r="J98" s="2" t="n">
        <v>0</v>
      </c>
      <c r="K98" s="2" t="n">
        <v>8.139</v>
      </c>
      <c r="L98" s="2" t="n">
        <v>12</v>
      </c>
      <c r="M98" s="2" t="s">
        <v>27</v>
      </c>
      <c r="N98" s="3" t="n">
        <v>110</v>
      </c>
      <c r="O98" s="3" t="n">
        <v>13.6989</v>
      </c>
      <c r="P98" s="3" t="n">
        <v>120.713</v>
      </c>
      <c r="Q98" s="3" t="s">
        <v>307</v>
      </c>
      <c r="R98" s="2" t="s">
        <v>84</v>
      </c>
      <c r="S98" s="2" t="s">
        <v>195</v>
      </c>
      <c r="T98" s="4" t="n">
        <f aca="false">DATE(VALUE(MID(C98,7,4)),VALUE(MID(C98,4,2)),VALUE(MID(C98,1,2)))+TIME(VALUE(MID(C98,12,2)),VALUE(MID(C98,15,2)),0)</f>
        <v>44400.8666666667</v>
      </c>
      <c r="U98" s="2" t="str">
        <f aca="false">IF(AND(ISNUMBER(VALUE(MID(A98,7,1))),ISNUMBER(SEARCH("km",A98)),ISNUMBER(SEARCH("of",A98))),"Distance-location","Named-region")</f>
        <v>Named-region</v>
      </c>
      <c r="V98" s="2" t="str">
        <f aca="false">LOWER(M98)</f>
        <v>mww</v>
      </c>
      <c r="W98" s="5" t="str">
        <f aca="false">IF(COUNTIFS($A$2:$A$1001,A98,$C$2:$C$1001,C98)&gt;1,"Duplicate","Unique")</f>
        <v>Unique</v>
      </c>
    </row>
    <row r="99" customFormat="false" ht="15" hidden="false" customHeight="false" outlineLevel="0" collapsed="false">
      <c r="A99" s="2" t="s">
        <v>308</v>
      </c>
      <c r="B99" s="3" t="n">
        <v>6.7</v>
      </c>
      <c r="C99" s="2" t="s">
        <v>309</v>
      </c>
      <c r="D99" s="2" t="n">
        <v>6</v>
      </c>
      <c r="E99" s="2" t="n">
        <v>6</v>
      </c>
      <c r="F99" s="2" t="s">
        <v>25</v>
      </c>
      <c r="G99" s="2" t="n">
        <v>1</v>
      </c>
      <c r="H99" s="2" t="n">
        <v>830</v>
      </c>
      <c r="I99" s="2" t="s">
        <v>26</v>
      </c>
      <c r="J99" s="2" t="n">
        <v>0</v>
      </c>
      <c r="K99" s="2" t="n">
        <v>1.395</v>
      </c>
      <c r="L99" s="2" t="n">
        <v>61</v>
      </c>
      <c r="M99" s="2" t="s">
        <v>27</v>
      </c>
      <c r="N99" s="3" t="n">
        <v>10</v>
      </c>
      <c r="O99" s="3" t="n">
        <v>7.5904</v>
      </c>
      <c r="P99" s="3" t="n">
        <v>-82.8813</v>
      </c>
      <c r="Q99" s="3" t="s">
        <v>310</v>
      </c>
      <c r="R99" s="2"/>
      <c r="S99" s="2"/>
      <c r="T99" s="4" t="n">
        <f aca="false">DATE(VALUE(MID(C99,7,4)),VALUE(MID(C99,4,2)),VALUE(MID(C99,1,2)))+TIME(VALUE(MID(C99,12,2)),VALUE(MID(C99,15,2)),0)</f>
        <v>44398.8854166667</v>
      </c>
      <c r="U99" s="2" t="str">
        <f aca="false">IF(AND(ISNUMBER(VALUE(MID(A99,7,1))),ISNUMBER(SEARCH("km",A99)),ISNUMBER(SEARCH("of",A99))),"Distance-location","Named-region")</f>
        <v>Named-region</v>
      </c>
      <c r="V99" s="2" t="str">
        <f aca="false">LOWER(M99)</f>
        <v>mww</v>
      </c>
      <c r="W99" s="5" t="str">
        <f aca="false">IF(COUNTIFS($A$2:$A$1001,A99,$C$2:$C$1001,C99)&gt;1,"Duplicate","Unique")</f>
        <v>Unique</v>
      </c>
    </row>
    <row r="100" customFormat="false" ht="15" hidden="false" customHeight="false" outlineLevel="0" collapsed="false">
      <c r="A100" s="2" t="s">
        <v>311</v>
      </c>
      <c r="B100" s="3" t="n">
        <v>6.5</v>
      </c>
      <c r="C100" s="2" t="s">
        <v>312</v>
      </c>
      <c r="D100" s="2" t="n">
        <v>0</v>
      </c>
      <c r="E100" s="2" t="n">
        <v>4</v>
      </c>
      <c r="F100" s="2" t="s">
        <v>25</v>
      </c>
      <c r="G100" s="2" t="n">
        <v>1</v>
      </c>
      <c r="H100" s="2" t="n">
        <v>650</v>
      </c>
      <c r="I100" s="2" t="s">
        <v>26</v>
      </c>
      <c r="J100" s="2" t="n">
        <v>0</v>
      </c>
      <c r="K100" s="2" t="n">
        <v>7.994</v>
      </c>
      <c r="L100" s="2" t="n">
        <v>24</v>
      </c>
      <c r="M100" s="2" t="s">
        <v>27</v>
      </c>
      <c r="N100" s="3" t="n">
        <v>25</v>
      </c>
      <c r="O100" s="3" t="n">
        <v>-30.2144</v>
      </c>
      <c r="P100" s="3" t="n">
        <v>-177.773</v>
      </c>
      <c r="Q100" s="3" t="s">
        <v>75</v>
      </c>
      <c r="R100" s="2"/>
      <c r="S100" s="2"/>
      <c r="T100" s="4" t="n">
        <f aca="false">DATE(VALUE(MID(C100,7,4)),VALUE(MID(C100,4,2)),VALUE(MID(C100,1,2)))+TIME(VALUE(MID(C100,12,2)),VALUE(MID(C100,15,2)),0)</f>
        <v>44367.7118055556</v>
      </c>
      <c r="U100" s="2" t="str">
        <f aca="false">IF(AND(ISNUMBER(VALUE(MID(A100,7,1))),ISNUMBER(SEARCH("km",A100)),ISNUMBER(SEARCH("of",A100))),"Distance-location","Named-region")</f>
        <v>Named-region</v>
      </c>
      <c r="V100" s="2" t="str">
        <f aca="false">LOWER(M100)</f>
        <v>mww</v>
      </c>
      <c r="W100" s="5" t="str">
        <f aca="false">IF(COUNTIFS($A$2:$A$1001,A100,$C$2:$C$1001,C100)&gt;1,"Duplicate","Unique")</f>
        <v>Unique</v>
      </c>
    </row>
    <row r="101" customFormat="false" ht="15" hidden="false" customHeight="false" outlineLevel="0" collapsed="false">
      <c r="A101" s="2" t="s">
        <v>313</v>
      </c>
      <c r="B101" s="3" t="n">
        <v>6.5</v>
      </c>
      <c r="C101" s="2" t="s">
        <v>314</v>
      </c>
      <c r="D101" s="2" t="n">
        <v>5</v>
      </c>
      <c r="E101" s="2" t="n">
        <v>7</v>
      </c>
      <c r="F101" s="2" t="s">
        <v>25</v>
      </c>
      <c r="G101" s="2" t="n">
        <v>1</v>
      </c>
      <c r="H101" s="2" t="n">
        <v>652</v>
      </c>
      <c r="I101" s="2" t="s">
        <v>26</v>
      </c>
      <c r="J101" s="2" t="n">
        <v>0</v>
      </c>
      <c r="K101" s="2" t="n">
        <v>4.518</v>
      </c>
      <c r="L101" s="2" t="n">
        <v>44</v>
      </c>
      <c r="M101" s="2" t="s">
        <v>27</v>
      </c>
      <c r="N101" s="3" t="n">
        <v>10</v>
      </c>
      <c r="O101" s="3" t="n">
        <v>-16.4796</v>
      </c>
      <c r="P101" s="3" t="n">
        <v>-177.356</v>
      </c>
      <c r="Q101" s="3" t="s">
        <v>315</v>
      </c>
      <c r="R101" s="2"/>
      <c r="S101" s="2"/>
      <c r="T101" s="4" t="n">
        <f aca="false">DATE(VALUE(MID(C101,7,4)),VALUE(MID(C101,4,2)),VALUE(MID(C101,1,2)))+TIME(VALUE(MID(C101,12,2)),VALUE(MID(C101,15,2)),0)</f>
        <v>44337.9256944444</v>
      </c>
      <c r="U101" s="2" t="str">
        <f aca="false">IF(AND(ISNUMBER(VALUE(MID(A101,7,1))),ISNUMBER(SEARCH("km",A101)),ISNUMBER(SEARCH("of",A101))),"Distance-location","Named-region")</f>
        <v>Named-region</v>
      </c>
      <c r="V101" s="2" t="str">
        <f aca="false">LOWER(M101)</f>
        <v>mww</v>
      </c>
      <c r="W101" s="5" t="str">
        <f aca="false">IF(COUNTIFS($A$2:$A$1001,A101,$C$2:$C$1001,C101)&gt;1,"Duplicate","Unique")</f>
        <v>Unique</v>
      </c>
    </row>
    <row r="102" customFormat="false" ht="15" hidden="false" customHeight="false" outlineLevel="0" collapsed="false">
      <c r="A102" s="2" t="s">
        <v>316</v>
      </c>
      <c r="B102" s="3" t="n">
        <v>7.3</v>
      </c>
      <c r="C102" s="2" t="s">
        <v>317</v>
      </c>
      <c r="D102" s="2" t="n">
        <v>9</v>
      </c>
      <c r="E102" s="2" t="n">
        <v>9</v>
      </c>
      <c r="F102" s="2" t="s">
        <v>99</v>
      </c>
      <c r="G102" s="2" t="n">
        <v>0</v>
      </c>
      <c r="H102" s="2" t="n">
        <v>1025</v>
      </c>
      <c r="I102" s="2" t="s">
        <v>26</v>
      </c>
      <c r="J102" s="2" t="n">
        <v>0</v>
      </c>
      <c r="K102" s="2" t="n">
        <v>4.655</v>
      </c>
      <c r="L102" s="2" t="n">
        <v>9</v>
      </c>
      <c r="M102" s="2" t="s">
        <v>27</v>
      </c>
      <c r="N102" s="3" t="n">
        <v>10</v>
      </c>
      <c r="O102" s="3" t="n">
        <v>34.5861</v>
      </c>
      <c r="P102" s="3" t="n">
        <v>98.2551</v>
      </c>
      <c r="Q102" s="3" t="s">
        <v>318</v>
      </c>
      <c r="R102" s="2" t="s">
        <v>84</v>
      </c>
      <c r="S102" s="2" t="s">
        <v>188</v>
      </c>
      <c r="T102" s="4" t="n">
        <f aca="false">DATE(VALUE(MID(C102,7,4)),VALUE(MID(C102,4,2)),VALUE(MID(C102,1,2)))+TIME(VALUE(MID(C102,12,2)),VALUE(MID(C102,15,2)),0)</f>
        <v>44337.7527777778</v>
      </c>
      <c r="U102" s="2" t="str">
        <f aca="false">IF(AND(ISNUMBER(VALUE(MID(A102,7,1))),ISNUMBER(SEARCH("km",A102)),ISNUMBER(SEARCH("of",A102))),"Distance-location","Named-region")</f>
        <v>Named-region</v>
      </c>
      <c r="V102" s="2" t="str">
        <f aca="false">LOWER(M102)</f>
        <v>mww</v>
      </c>
      <c r="W102" s="5" t="str">
        <f aca="false">IF(COUNTIFS($A$2:$A$1001,A102,$C$2:$C$1001,C102)&gt;1,"Duplicate","Unique")</f>
        <v>Unique</v>
      </c>
    </row>
    <row r="103" customFormat="false" ht="15" hidden="false" customHeight="false" outlineLevel="0" collapsed="false">
      <c r="A103" s="2" t="s">
        <v>319</v>
      </c>
      <c r="B103" s="3" t="n">
        <v>6.7</v>
      </c>
      <c r="C103" s="2" t="s">
        <v>320</v>
      </c>
      <c r="D103" s="2" t="n">
        <v>8</v>
      </c>
      <c r="E103" s="2" t="n">
        <v>4</v>
      </c>
      <c r="F103" s="2" t="s">
        <v>25</v>
      </c>
      <c r="G103" s="2" t="n">
        <v>0</v>
      </c>
      <c r="H103" s="2" t="n">
        <v>698</v>
      </c>
      <c r="I103" s="2" t="s">
        <v>26</v>
      </c>
      <c r="J103" s="2" t="n">
        <v>0</v>
      </c>
      <c r="K103" s="2" t="n">
        <v>1.487</v>
      </c>
      <c r="L103" s="2" t="n">
        <v>37</v>
      </c>
      <c r="M103" s="2" t="s">
        <v>27</v>
      </c>
      <c r="N103" s="3" t="n">
        <v>11</v>
      </c>
      <c r="O103" s="3" t="n">
        <v>0.1684</v>
      </c>
      <c r="P103" s="3" t="n">
        <v>96.6475</v>
      </c>
      <c r="Q103" s="3" t="s">
        <v>321</v>
      </c>
      <c r="R103" s="2"/>
      <c r="S103" s="2"/>
      <c r="T103" s="4" t="n">
        <f aca="false">DATE(VALUE(MID(C103,7,4)),VALUE(MID(C103,4,2)),VALUE(MID(C103,1,2)))+TIME(VALUE(MID(C103,12,2)),VALUE(MID(C103,15,2)),0)</f>
        <v>44330.2729166667</v>
      </c>
      <c r="U103" s="2" t="str">
        <f aca="false">IF(AND(ISNUMBER(VALUE(MID(A103,7,1))),ISNUMBER(SEARCH("km",A103)),ISNUMBER(SEARCH("of",A103))),"Distance-location","Named-region")</f>
        <v>Named-region</v>
      </c>
      <c r="V103" s="2" t="str">
        <f aca="false">LOWER(M103)</f>
        <v>mww</v>
      </c>
      <c r="W103" s="5" t="str">
        <f aca="false">IF(COUNTIFS($A$2:$A$1001,A103,$C$2:$C$1001,C103)&gt;1,"Duplicate","Unique")</f>
        <v>Unique</v>
      </c>
    </row>
    <row r="104" customFormat="false" ht="15" hidden="false" customHeight="false" outlineLevel="0" collapsed="false">
      <c r="A104" s="2" t="s">
        <v>322</v>
      </c>
      <c r="B104" s="3" t="n">
        <v>6.7</v>
      </c>
      <c r="C104" s="2" t="s">
        <v>323</v>
      </c>
      <c r="D104" s="2" t="n">
        <v>9</v>
      </c>
      <c r="E104" s="2" t="n">
        <v>3</v>
      </c>
      <c r="F104" s="2" t="s">
        <v>25</v>
      </c>
      <c r="G104" s="2" t="n">
        <v>0</v>
      </c>
      <c r="H104" s="2" t="n">
        <v>694</v>
      </c>
      <c r="I104" s="2" t="s">
        <v>26</v>
      </c>
      <c r="J104" s="2" t="n">
        <v>0</v>
      </c>
      <c r="K104" s="2" t="n">
        <v>10.669</v>
      </c>
      <c r="L104" s="2" t="n">
        <v>45</v>
      </c>
      <c r="M104" s="2" t="s">
        <v>27</v>
      </c>
      <c r="N104" s="3" t="n">
        <v>10</v>
      </c>
      <c r="O104" s="3" t="n">
        <v>-17.2495</v>
      </c>
      <c r="P104" s="3" t="n">
        <v>66.3745</v>
      </c>
      <c r="Q104" s="3" t="s">
        <v>324</v>
      </c>
      <c r="R104" s="2"/>
      <c r="S104" s="2"/>
      <c r="T104" s="4" t="n">
        <f aca="false">DATE(VALUE(MID(C104,7,4)),VALUE(MID(C104,4,2)),VALUE(MID(C104,1,2)))+TIME(VALUE(MID(C104,12,2)),VALUE(MID(C104,15,2)),0)</f>
        <v>44328.5868055556</v>
      </c>
      <c r="U104" s="2" t="str">
        <f aca="false">IF(AND(ISNUMBER(VALUE(MID(A104,7,1))),ISNUMBER(SEARCH("km",A104)),ISNUMBER(SEARCH("of",A104))),"Distance-location","Named-region")</f>
        <v>Named-region</v>
      </c>
      <c r="V104" s="2" t="str">
        <f aca="false">LOWER(M104)</f>
        <v>mww</v>
      </c>
      <c r="W104" s="5" t="str">
        <f aca="false">IF(COUNTIFS($A$2:$A$1001,A104,$C$2:$C$1001,C104)&gt;1,"Duplicate","Unique")</f>
        <v>Unique</v>
      </c>
    </row>
    <row r="105" customFormat="false" ht="15" hidden="false" customHeight="false" outlineLevel="0" collapsed="false">
      <c r="A105" s="2" t="s">
        <v>204</v>
      </c>
      <c r="B105" s="3" t="n">
        <v>6.9</v>
      </c>
      <c r="C105" s="2" t="s">
        <v>325</v>
      </c>
      <c r="D105" s="2" t="n">
        <v>7</v>
      </c>
      <c r="E105" s="2" t="n">
        <v>6</v>
      </c>
      <c r="F105" s="2" t="s">
        <v>25</v>
      </c>
      <c r="G105" s="2" t="n">
        <v>1</v>
      </c>
      <c r="H105" s="2" t="n">
        <v>919</v>
      </c>
      <c r="I105" s="2" t="s">
        <v>26</v>
      </c>
      <c r="J105" s="2" t="n">
        <v>0</v>
      </c>
      <c r="K105" s="2" t="n">
        <v>2.619</v>
      </c>
      <c r="L105" s="2" t="n">
        <v>35</v>
      </c>
      <c r="M105" s="2" t="s">
        <v>27</v>
      </c>
      <c r="N105" s="3" t="n">
        <v>43</v>
      </c>
      <c r="O105" s="3" t="n">
        <v>38.2296</v>
      </c>
      <c r="P105" s="3" t="n">
        <v>141.665</v>
      </c>
      <c r="Q105" s="3"/>
      <c r="R105" s="2" t="s">
        <v>84</v>
      </c>
      <c r="S105" s="2" t="s">
        <v>326</v>
      </c>
      <c r="T105" s="4" t="n">
        <f aca="false">DATE(VALUE(MID(C105,7,4)),VALUE(MID(C105,4,2)),VALUE(MID(C105,1,2)))+TIME(VALUE(MID(C105,12,2)),VALUE(MID(C105,15,2)),0)</f>
        <v>44317.0604166667</v>
      </c>
      <c r="U105" s="2" t="str">
        <f aca="false">IF(AND(ISNUMBER(VALUE(MID(A105,7,1))),ISNUMBER(SEARCH("km",A105)),ISNUMBER(SEARCH("of",A105))),"Distance-location","Named-region")</f>
        <v>Named-region</v>
      </c>
      <c r="V105" s="2" t="str">
        <f aca="false">LOWER(M105)</f>
        <v>mww</v>
      </c>
      <c r="W105" s="5" t="str">
        <f aca="false">IF(COUNTIFS($A$2:$A$1001,A105,$C$2:$C$1001,C105)&gt;1,"Duplicate","Unique")</f>
        <v>Unique</v>
      </c>
    </row>
    <row r="106" customFormat="false" ht="15" hidden="false" customHeight="false" outlineLevel="0" collapsed="false">
      <c r="A106" s="2" t="s">
        <v>327</v>
      </c>
      <c r="B106" s="3" t="n">
        <v>6.5</v>
      </c>
      <c r="C106" s="2" t="s">
        <v>328</v>
      </c>
      <c r="D106" s="2" t="n">
        <v>4</v>
      </c>
      <c r="E106" s="2" t="n">
        <v>4</v>
      </c>
      <c r="F106" s="2" t="s">
        <v>25</v>
      </c>
      <c r="G106" s="2" t="n">
        <v>0</v>
      </c>
      <c r="H106" s="2" t="n">
        <v>651</v>
      </c>
      <c r="I106" s="2" t="s">
        <v>26</v>
      </c>
      <c r="J106" s="2" t="n">
        <v>0</v>
      </c>
      <c r="K106" s="2" t="n">
        <v>5.931</v>
      </c>
      <c r="L106" s="2" t="n">
        <v>20</v>
      </c>
      <c r="M106" s="2" t="s">
        <v>27</v>
      </c>
      <c r="N106" s="3" t="n">
        <v>246</v>
      </c>
      <c r="O106" s="3" t="n">
        <v>-21.6857</v>
      </c>
      <c r="P106" s="3" t="n">
        <v>-177.064</v>
      </c>
      <c r="Q106" s="3" t="s">
        <v>329</v>
      </c>
      <c r="R106" s="2"/>
      <c r="S106" s="2"/>
      <c r="T106" s="4" t="n">
        <f aca="false">DATE(VALUE(MID(C106,7,4)),VALUE(MID(C106,4,2)),VALUE(MID(C106,1,2)))+TIME(VALUE(MID(C106,12,2)),VALUE(MID(C106,15,2)),0)</f>
        <v>44311.9361111111</v>
      </c>
      <c r="U106" s="2" t="str">
        <f aca="false">IF(AND(ISNUMBER(VALUE(MID(A106,7,1))),ISNUMBER(SEARCH("km",A106)),ISNUMBER(SEARCH("of",A106))),"Distance-location","Named-region")</f>
        <v>Named-region</v>
      </c>
      <c r="V106" s="2" t="str">
        <f aca="false">LOWER(M106)</f>
        <v>mww</v>
      </c>
      <c r="W106" s="5" t="str">
        <f aca="false">IF(COUNTIFS($A$2:$A$1001,A106,$C$2:$C$1001,C106)&gt;1,"Duplicate","Unique")</f>
        <v>Unique</v>
      </c>
    </row>
    <row r="107" customFormat="false" ht="15" hidden="false" customHeight="false" outlineLevel="0" collapsed="false">
      <c r="A107" s="2" t="s">
        <v>330</v>
      </c>
      <c r="B107" s="3" t="n">
        <v>6.5</v>
      </c>
      <c r="C107" s="2" t="s">
        <v>331</v>
      </c>
      <c r="D107" s="2" t="n">
        <v>6</v>
      </c>
      <c r="E107" s="2" t="n">
        <v>4</v>
      </c>
      <c r="F107" s="2" t="s">
        <v>25</v>
      </c>
      <c r="G107" s="2" t="n">
        <v>0</v>
      </c>
      <c r="H107" s="2" t="n">
        <v>652</v>
      </c>
      <c r="I107" s="2" t="s">
        <v>26</v>
      </c>
      <c r="J107" s="2" t="n">
        <v>0</v>
      </c>
      <c r="K107" s="2" t="n">
        <v>10.405</v>
      </c>
      <c r="L107" s="2" t="n">
        <v>19</v>
      </c>
      <c r="M107" s="2" t="s">
        <v>27</v>
      </c>
      <c r="N107" s="3" t="n">
        <v>301</v>
      </c>
      <c r="O107" s="3" t="n">
        <v>-18.9204</v>
      </c>
      <c r="P107" s="3" t="n">
        <v>-176.235</v>
      </c>
      <c r="Q107" s="3" t="s">
        <v>332</v>
      </c>
      <c r="R107" s="2"/>
      <c r="S107" s="2"/>
      <c r="T107" s="4" t="n">
        <f aca="false">DATE(VALUE(MID(C107,7,4)),VALUE(MID(C107,4,2)),VALUE(MID(C107,1,2)))+TIME(VALUE(MID(C107,12,2)),VALUE(MID(C107,15,2)),0)</f>
        <v>44310.0159722222</v>
      </c>
      <c r="U107" s="2" t="str">
        <f aca="false">IF(AND(ISNUMBER(VALUE(MID(A107,7,1))),ISNUMBER(SEARCH("km",A107)),ISNUMBER(SEARCH("of",A107))),"Distance-location","Named-region")</f>
        <v>Named-region</v>
      </c>
      <c r="V107" s="2" t="str">
        <f aca="false">LOWER(M107)</f>
        <v>mww</v>
      </c>
      <c r="W107" s="5" t="str">
        <f aca="false">IF(COUNTIFS($A$2:$A$1001,A107,$C$2:$C$1001,C107)&gt;1,"Duplicate","Unique")</f>
        <v>Unique</v>
      </c>
    </row>
    <row r="108" customFormat="false" ht="15" hidden="false" customHeight="false" outlineLevel="0" collapsed="false">
      <c r="A108" s="2" t="s">
        <v>333</v>
      </c>
      <c r="B108" s="3" t="n">
        <v>7</v>
      </c>
      <c r="C108" s="2" t="s">
        <v>334</v>
      </c>
      <c r="D108" s="2" t="n">
        <v>7</v>
      </c>
      <c r="E108" s="2" t="n">
        <v>7</v>
      </c>
      <c r="F108" s="2" t="s">
        <v>32</v>
      </c>
      <c r="G108" s="2" t="n">
        <v>1</v>
      </c>
      <c r="H108" s="2" t="n">
        <v>1052</v>
      </c>
      <c r="I108" s="2" t="s">
        <v>26</v>
      </c>
      <c r="J108" s="2" t="n">
        <v>0</v>
      </c>
      <c r="K108" s="2" t="n">
        <v>2.378</v>
      </c>
      <c r="L108" s="2" t="n">
        <v>35</v>
      </c>
      <c r="M108" s="2" t="s">
        <v>27</v>
      </c>
      <c r="N108" s="3" t="n">
        <v>43</v>
      </c>
      <c r="O108" s="3" t="n">
        <v>38.4752</v>
      </c>
      <c r="P108" s="3" t="n">
        <v>141.607</v>
      </c>
      <c r="Q108" s="3" t="s">
        <v>335</v>
      </c>
      <c r="R108" s="2" t="s">
        <v>84</v>
      </c>
      <c r="S108" s="2" t="s">
        <v>326</v>
      </c>
      <c r="T108" s="4" t="n">
        <f aca="false">DATE(VALUE(MID(C108,7,4)),VALUE(MID(C108,4,2)),VALUE(MID(C108,1,2)))+TIME(VALUE(MID(C108,12,2)),VALUE(MID(C108,15,2)),0)</f>
        <v>44275.38125</v>
      </c>
      <c r="U108" s="2" t="str">
        <f aca="false">IF(AND(ISNUMBER(VALUE(MID(A108,7,1))),ISNUMBER(SEARCH("km",A108)),ISNUMBER(SEARCH("of",A108))),"Distance-location","Named-region")</f>
        <v>Named-region</v>
      </c>
      <c r="V108" s="2" t="str">
        <f aca="false">LOWER(M108)</f>
        <v>mww</v>
      </c>
      <c r="W108" s="5" t="str">
        <f aca="false">IF(COUNTIFS($A$2:$A$1001,A108,$C$2:$C$1001,C108)&gt;1,"Duplicate","Unique")</f>
        <v>Unique</v>
      </c>
    </row>
    <row r="109" customFormat="false" ht="15" hidden="false" customHeight="false" outlineLevel="0" collapsed="false">
      <c r="A109" s="2" t="s">
        <v>336</v>
      </c>
      <c r="B109" s="3" t="n">
        <v>6.6</v>
      </c>
      <c r="C109" s="2" t="s">
        <v>337</v>
      </c>
      <c r="D109" s="2" t="n">
        <v>5</v>
      </c>
      <c r="E109" s="2" t="n">
        <v>5</v>
      </c>
      <c r="F109" s="2" t="s">
        <v>25</v>
      </c>
      <c r="G109" s="2" t="n">
        <v>1</v>
      </c>
      <c r="H109" s="2" t="n">
        <v>672</v>
      </c>
      <c r="I109" s="2" t="s">
        <v>26</v>
      </c>
      <c r="J109" s="2" t="n">
        <v>0</v>
      </c>
      <c r="K109" s="2" t="n">
        <v>3.183</v>
      </c>
      <c r="L109" s="2" t="n">
        <v>18</v>
      </c>
      <c r="M109" s="2" t="s">
        <v>27</v>
      </c>
      <c r="N109" s="3" t="n">
        <v>13.23</v>
      </c>
      <c r="O109" s="3" t="n">
        <v>54.7018</v>
      </c>
      <c r="P109" s="3" t="n">
        <v>163.208</v>
      </c>
      <c r="Q109" s="3" t="s">
        <v>338</v>
      </c>
      <c r="R109" s="2"/>
      <c r="S109" s="2"/>
      <c r="T109" s="4" t="n">
        <f aca="false">DATE(VALUE(MID(C109,7,4)),VALUE(MID(C109,4,2)),VALUE(MID(C109,1,2)))+TIME(VALUE(MID(C109,12,2)),VALUE(MID(C109,15,2)),0)</f>
        <v>44271.7763888889</v>
      </c>
      <c r="U109" s="2" t="str">
        <f aca="false">IF(AND(ISNUMBER(VALUE(MID(A109,7,1))),ISNUMBER(SEARCH("km",A109)),ISNUMBER(SEARCH("of",A109))),"Distance-location","Named-region")</f>
        <v>Named-region</v>
      </c>
      <c r="V109" s="2" t="str">
        <f aca="false">LOWER(M109)</f>
        <v>mww</v>
      </c>
      <c r="W109" s="5" t="str">
        <f aca="false">IF(COUNTIFS($A$2:$A$1001,A109,$C$2:$C$1001,C109)&gt;1,"Duplicate","Unique")</f>
        <v>Unique</v>
      </c>
    </row>
    <row r="110" customFormat="false" ht="15" hidden="false" customHeight="false" outlineLevel="0" collapsed="false">
      <c r="A110" s="2" t="s">
        <v>231</v>
      </c>
      <c r="B110" s="3" t="n">
        <v>6.5</v>
      </c>
      <c r="C110" s="2" t="s">
        <v>339</v>
      </c>
      <c r="D110" s="2" t="n">
        <v>0</v>
      </c>
      <c r="E110" s="2" t="n">
        <v>4</v>
      </c>
      <c r="F110" s="2" t="s">
        <v>25</v>
      </c>
      <c r="G110" s="2" t="n">
        <v>0</v>
      </c>
      <c r="H110" s="2" t="n">
        <v>650</v>
      </c>
      <c r="I110" s="2" t="s">
        <v>26</v>
      </c>
      <c r="J110" s="2" t="n">
        <v>0</v>
      </c>
      <c r="K110" s="2" t="n">
        <v>11.764</v>
      </c>
      <c r="L110" s="2" t="n">
        <v>25</v>
      </c>
      <c r="M110" s="2" t="s">
        <v>158</v>
      </c>
      <c r="N110" s="3" t="n">
        <v>24</v>
      </c>
      <c r="O110" s="3" t="n">
        <v>-28.4792</v>
      </c>
      <c r="P110" s="3" t="n">
        <v>-176.619</v>
      </c>
      <c r="Q110" s="3" t="s">
        <v>103</v>
      </c>
      <c r="R110" s="2"/>
      <c r="S110" s="2"/>
      <c r="T110" s="4" t="n">
        <f aca="false">DATE(VALUE(MID(C110,7,4)),VALUE(MID(C110,4,2)),VALUE(MID(C110,1,2)))+TIME(VALUE(MID(C110,12,2)),VALUE(MID(C110,15,2)),0)</f>
        <v>44259.9666666667</v>
      </c>
      <c r="U110" s="2" t="str">
        <f aca="false">IF(AND(ISNUMBER(VALUE(MID(A110,7,1))),ISNUMBER(SEARCH("km",A110)),ISNUMBER(SEARCH("of",A110))),"Distance-location","Named-region")</f>
        <v>Named-region</v>
      </c>
      <c r="V110" s="2" t="str">
        <f aca="false">LOWER(M110)</f>
        <v>mwb</v>
      </c>
      <c r="W110" s="5" t="str">
        <f aca="false">IF(COUNTIFS($A$2:$A$1001,A110,$C$2:$C$1001,C110)&gt;1,"Duplicate","Unique")</f>
        <v>Unique</v>
      </c>
    </row>
    <row r="111" customFormat="false" ht="15" hidden="false" customHeight="false" outlineLevel="0" collapsed="false">
      <c r="A111" s="2" t="s">
        <v>340</v>
      </c>
      <c r="B111" s="3" t="n">
        <v>8.1</v>
      </c>
      <c r="C111" s="2" t="s">
        <v>341</v>
      </c>
      <c r="D111" s="2" t="n">
        <v>9</v>
      </c>
      <c r="E111" s="2" t="n">
        <v>8</v>
      </c>
      <c r="F111" s="2" t="s">
        <v>25</v>
      </c>
      <c r="G111" s="2" t="n">
        <v>1</v>
      </c>
      <c r="H111" s="2" t="n">
        <v>1021</v>
      </c>
      <c r="I111" s="2" t="s">
        <v>26</v>
      </c>
      <c r="J111" s="2" t="n">
        <v>0</v>
      </c>
      <c r="K111" s="2" t="n">
        <v>0.739</v>
      </c>
      <c r="L111" s="2" t="n">
        <v>21</v>
      </c>
      <c r="M111" s="2" t="s">
        <v>27</v>
      </c>
      <c r="N111" s="3" t="n">
        <v>28.93</v>
      </c>
      <c r="O111" s="3" t="n">
        <v>-29.7466</v>
      </c>
      <c r="P111" s="3" t="n">
        <v>-177.224</v>
      </c>
      <c r="Q111" s="3" t="s">
        <v>75</v>
      </c>
      <c r="R111" s="2"/>
      <c r="S111" s="2"/>
      <c r="T111" s="4" t="n">
        <f aca="false">DATE(VALUE(MID(C111,7,4)),VALUE(MID(C111,4,2)),VALUE(MID(C111,1,2)))+TIME(VALUE(MID(C111,12,2)),VALUE(MID(C111,15,2)),0)</f>
        <v>44259.8111111111</v>
      </c>
      <c r="U111" s="2" t="str">
        <f aca="false">IF(AND(ISNUMBER(VALUE(MID(A111,7,1))),ISNUMBER(SEARCH("km",A111)),ISNUMBER(SEARCH("of",A111))),"Distance-location","Named-region")</f>
        <v>Named-region</v>
      </c>
      <c r="V111" s="2" t="str">
        <f aca="false">LOWER(M111)</f>
        <v>mww</v>
      </c>
      <c r="W111" s="5" t="str">
        <f aca="false">IF(COUNTIFS($A$2:$A$1001,A111,$C$2:$C$1001,C111)&gt;1,"Duplicate","Unique")</f>
        <v>Unique</v>
      </c>
    </row>
    <row r="112" customFormat="false" ht="15" hidden="false" customHeight="false" outlineLevel="0" collapsed="false">
      <c r="A112" s="2" t="s">
        <v>342</v>
      </c>
      <c r="B112" s="3" t="n">
        <v>7.4</v>
      </c>
      <c r="C112" s="2" t="s">
        <v>343</v>
      </c>
      <c r="D112" s="2" t="n">
        <v>3</v>
      </c>
      <c r="E112" s="2" t="n">
        <v>7</v>
      </c>
      <c r="F112" s="2" t="s">
        <v>25</v>
      </c>
      <c r="G112" s="2" t="n">
        <v>1</v>
      </c>
      <c r="H112" s="2" t="n">
        <v>843</v>
      </c>
      <c r="I112" s="2" t="s">
        <v>26</v>
      </c>
      <c r="J112" s="2" t="n">
        <v>0</v>
      </c>
      <c r="K112" s="2" t="n">
        <v>0.437</v>
      </c>
      <c r="L112" s="2" t="n">
        <v>30</v>
      </c>
      <c r="M112" s="2" t="s">
        <v>27</v>
      </c>
      <c r="N112" s="3" t="n">
        <v>43</v>
      </c>
      <c r="O112" s="3" t="n">
        <v>-29.6131</v>
      </c>
      <c r="P112" s="3" t="n">
        <v>-177.842</v>
      </c>
      <c r="Q112" s="3" t="s">
        <v>75</v>
      </c>
      <c r="R112" s="2"/>
      <c r="S112" s="2"/>
      <c r="T112" s="4" t="n">
        <f aca="false">DATE(VALUE(MID(C112,7,4)),VALUE(MID(C112,4,2)),VALUE(MID(C112,1,2)))+TIME(VALUE(MID(C112,12,2)),VALUE(MID(C112,15,2)),0)</f>
        <v>44259.7368055556</v>
      </c>
      <c r="U112" s="2" t="str">
        <f aca="false">IF(AND(ISNUMBER(VALUE(MID(A112,7,1))),ISNUMBER(SEARCH("km",A112)),ISNUMBER(SEARCH("of",A112))),"Distance-location","Named-region")</f>
        <v>Named-region</v>
      </c>
      <c r="V112" s="2" t="str">
        <f aca="false">LOWER(M112)</f>
        <v>mww</v>
      </c>
      <c r="W112" s="5" t="str">
        <f aca="false">IF(COUNTIFS($A$2:$A$1001,A112,$C$2:$C$1001,C112)&gt;1,"Duplicate","Unique")</f>
        <v>Unique</v>
      </c>
    </row>
    <row r="113" customFormat="false" ht="15" hidden="false" customHeight="false" outlineLevel="0" collapsed="false">
      <c r="A113" s="2" t="s">
        <v>344</v>
      </c>
      <c r="B113" s="3" t="n">
        <v>7.3</v>
      </c>
      <c r="C113" s="2" t="s">
        <v>345</v>
      </c>
      <c r="D113" s="2" t="n">
        <v>7</v>
      </c>
      <c r="E113" s="2" t="n">
        <v>6</v>
      </c>
      <c r="F113" s="2" t="s">
        <v>25</v>
      </c>
      <c r="G113" s="2" t="n">
        <v>1</v>
      </c>
      <c r="H113" s="2" t="n">
        <v>932</v>
      </c>
      <c r="I113" s="2" t="s">
        <v>26</v>
      </c>
      <c r="J113" s="2" t="n">
        <v>0</v>
      </c>
      <c r="K113" s="2" t="n">
        <v>0.918</v>
      </c>
      <c r="L113" s="2" t="n">
        <v>24</v>
      </c>
      <c r="M113" s="2" t="s">
        <v>27</v>
      </c>
      <c r="N113" s="3" t="n">
        <v>10</v>
      </c>
      <c r="O113" s="3" t="n">
        <v>-37.596</v>
      </c>
      <c r="P113" s="3" t="n">
        <v>179.544</v>
      </c>
      <c r="Q113" s="3" t="s">
        <v>346</v>
      </c>
      <c r="R113" s="2"/>
      <c r="S113" s="2"/>
      <c r="T113" s="4" t="n">
        <f aca="false">DATE(VALUE(MID(C113,7,4)),VALUE(MID(C113,4,2)),VALUE(MID(C113,1,2)))+TIME(VALUE(MID(C113,12,2)),VALUE(MID(C113,15,2)),0)</f>
        <v>44259.5604166667</v>
      </c>
      <c r="U113" s="2" t="str">
        <f aca="false">IF(AND(ISNUMBER(VALUE(MID(A113,7,1))),ISNUMBER(SEARCH("km",A113)),ISNUMBER(SEARCH("of",A113))),"Distance-location","Named-region")</f>
        <v>Named-region</v>
      </c>
      <c r="V113" s="2" t="str">
        <f aca="false">LOWER(M113)</f>
        <v>mww</v>
      </c>
      <c r="W113" s="5" t="str">
        <f aca="false">IF(COUNTIFS($A$2:$A$1001,A113,$C$2:$C$1001,C113)&gt;1,"Duplicate","Unique")</f>
        <v>Unique</v>
      </c>
    </row>
    <row r="114" customFormat="false" ht="15" hidden="false" customHeight="false" outlineLevel="0" collapsed="false">
      <c r="A114" s="2" t="s">
        <v>347</v>
      </c>
      <c r="B114" s="3" t="n">
        <v>7.1</v>
      </c>
      <c r="C114" s="2" t="s">
        <v>348</v>
      </c>
      <c r="D114" s="2" t="n">
        <v>9</v>
      </c>
      <c r="E114" s="2" t="n">
        <v>8</v>
      </c>
      <c r="F114" s="2" t="s">
        <v>99</v>
      </c>
      <c r="G114" s="2" t="n">
        <v>1</v>
      </c>
      <c r="H114" s="2" t="n">
        <v>1612</v>
      </c>
      <c r="I114" s="2" t="s">
        <v>26</v>
      </c>
      <c r="J114" s="2" t="n">
        <v>0</v>
      </c>
      <c r="K114" s="2" t="n">
        <v>3.085</v>
      </c>
      <c r="L114" s="2" t="n">
        <v>11</v>
      </c>
      <c r="M114" s="2" t="s">
        <v>27</v>
      </c>
      <c r="N114" s="3" t="n">
        <v>43.98</v>
      </c>
      <c r="O114" s="3" t="n">
        <v>37.6856</v>
      </c>
      <c r="P114" s="3" t="n">
        <v>141.992</v>
      </c>
      <c r="Q114" s="3" t="s">
        <v>221</v>
      </c>
      <c r="R114" s="2"/>
      <c r="S114" s="2"/>
      <c r="T114" s="4" t="n">
        <f aca="false">DATE(VALUE(MID(C114,7,4)),VALUE(MID(C114,4,2)),VALUE(MID(C114,1,2)))+TIME(VALUE(MID(C114,12,2)),VALUE(MID(C114,15,2)),0)</f>
        <v>44240.5881944444</v>
      </c>
      <c r="U114" s="2" t="str">
        <f aca="false">IF(AND(ISNUMBER(VALUE(MID(A114,7,1))),ISNUMBER(SEARCH("km",A114)),ISNUMBER(SEARCH("of",A114))),"Distance-location","Named-region")</f>
        <v>Named-region</v>
      </c>
      <c r="V114" s="2" t="str">
        <f aca="false">LOWER(M114)</f>
        <v>mww</v>
      </c>
      <c r="W114" s="5" t="str">
        <f aca="false">IF(COUNTIFS($A$2:$A$1001,A114,$C$2:$C$1001,C114)&gt;1,"Duplicate","Unique")</f>
        <v>Unique</v>
      </c>
    </row>
    <row r="115" customFormat="false" ht="15" hidden="false" customHeight="false" outlineLevel="0" collapsed="false">
      <c r="A115" s="2" t="s">
        <v>62</v>
      </c>
      <c r="B115" s="3" t="n">
        <v>7.7</v>
      </c>
      <c r="C115" s="2" t="s">
        <v>349</v>
      </c>
      <c r="D115" s="2" t="n">
        <v>9</v>
      </c>
      <c r="E115" s="2" t="n">
        <v>4</v>
      </c>
      <c r="F115" s="2" t="s">
        <v>25</v>
      </c>
      <c r="G115" s="2" t="n">
        <v>1</v>
      </c>
      <c r="H115" s="2" t="n">
        <v>918</v>
      </c>
      <c r="I115" s="2" t="s">
        <v>26</v>
      </c>
      <c r="J115" s="2" t="n">
        <v>0</v>
      </c>
      <c r="K115" s="2" t="n">
        <v>7.989</v>
      </c>
      <c r="L115" s="2" t="n">
        <v>15</v>
      </c>
      <c r="M115" s="2" t="s">
        <v>27</v>
      </c>
      <c r="N115" s="3" t="n">
        <v>10</v>
      </c>
      <c r="O115" s="3" t="n">
        <v>-23.2787</v>
      </c>
      <c r="P115" s="3" t="n">
        <v>171.489</v>
      </c>
      <c r="Q115" s="3" t="s">
        <v>61</v>
      </c>
      <c r="R115" s="2"/>
      <c r="S115" s="2"/>
      <c r="T115" s="4" t="n">
        <f aca="false">DATE(VALUE(MID(C115,7,4)),VALUE(MID(C115,4,2)),VALUE(MID(C115,1,2)))+TIME(VALUE(MID(C115,12,2)),VALUE(MID(C115,15,2)),0)</f>
        <v>44237.5548611111</v>
      </c>
      <c r="U115" s="2" t="str">
        <f aca="false">IF(AND(ISNUMBER(VALUE(MID(A115,7,1))),ISNUMBER(SEARCH("km",A115)),ISNUMBER(SEARCH("of",A115))),"Distance-location","Named-region")</f>
        <v>Named-region</v>
      </c>
      <c r="V115" s="2" t="str">
        <f aca="false">LOWER(M115)</f>
        <v>mww</v>
      </c>
      <c r="W115" s="5" t="str">
        <f aca="false">IF(COUNTIFS($A$2:$A$1001,A115,$C$2:$C$1001,C115)&gt;1,"Duplicate","Unique")</f>
        <v>Unique</v>
      </c>
    </row>
    <row r="116" customFormat="false" ht="15" hidden="false" customHeight="false" outlineLevel="0" collapsed="false">
      <c r="A116" s="2" t="s">
        <v>350</v>
      </c>
      <c r="B116" s="3" t="n">
        <v>6.9</v>
      </c>
      <c r="C116" s="2" t="s">
        <v>351</v>
      </c>
      <c r="D116" s="2" t="n">
        <v>9</v>
      </c>
      <c r="E116" s="2" t="n">
        <v>5</v>
      </c>
      <c r="F116" s="2" t="s">
        <v>25</v>
      </c>
      <c r="G116" s="2" t="n">
        <v>1</v>
      </c>
      <c r="H116" s="2" t="n">
        <v>739</v>
      </c>
      <c r="I116" s="2" t="s">
        <v>26</v>
      </c>
      <c r="J116" s="2" t="n">
        <v>0</v>
      </c>
      <c r="K116" s="2" t="n">
        <v>1.55</v>
      </c>
      <c r="L116" s="2" t="n">
        <v>16</v>
      </c>
      <c r="M116" s="2" t="s">
        <v>27</v>
      </c>
      <c r="N116" s="3" t="n">
        <v>15</v>
      </c>
      <c r="O116" s="3" t="n">
        <v>-61.8484</v>
      </c>
      <c r="P116" s="3" t="n">
        <v>-55.559</v>
      </c>
      <c r="Q116" s="3" t="s">
        <v>352</v>
      </c>
      <c r="R116" s="2"/>
      <c r="S116" s="2" t="s">
        <v>280</v>
      </c>
      <c r="T116" s="4" t="n">
        <f aca="false">DATE(VALUE(MID(C116,7,4)),VALUE(MID(C116,4,2)),VALUE(MID(C116,1,2)))+TIME(VALUE(MID(C116,12,2)),VALUE(MID(C116,15,2)),0)</f>
        <v>44219.9833333333</v>
      </c>
      <c r="U116" s="2" t="str">
        <f aca="false">IF(AND(ISNUMBER(VALUE(MID(A116,7,1))),ISNUMBER(SEARCH("km",A116)),ISNUMBER(SEARCH("of",A116))),"Distance-location","Named-region")</f>
        <v>Named-region</v>
      </c>
      <c r="V116" s="2" t="str">
        <f aca="false">LOWER(M116)</f>
        <v>mww</v>
      </c>
      <c r="W116" s="5" t="str">
        <f aca="false">IF(COUNTIFS($A$2:$A$1001,A116,$C$2:$C$1001,C116)&gt;1,"Duplicate","Unique")</f>
        <v>Unique</v>
      </c>
    </row>
    <row r="117" customFormat="false" ht="15" hidden="false" customHeight="false" outlineLevel="0" collapsed="false">
      <c r="A117" s="2" t="s">
        <v>353</v>
      </c>
      <c r="B117" s="3" t="n">
        <v>7</v>
      </c>
      <c r="C117" s="2" t="s">
        <v>354</v>
      </c>
      <c r="D117" s="2" t="n">
        <v>7</v>
      </c>
      <c r="E117" s="2" t="n">
        <v>5</v>
      </c>
      <c r="F117" s="2" t="s">
        <v>25</v>
      </c>
      <c r="G117" s="2" t="n">
        <v>1</v>
      </c>
      <c r="H117" s="2" t="n">
        <v>802</v>
      </c>
      <c r="I117" s="2" t="s">
        <v>26</v>
      </c>
      <c r="J117" s="2" t="n">
        <v>0</v>
      </c>
      <c r="K117" s="2" t="n">
        <v>2.821</v>
      </c>
      <c r="L117" s="2" t="n">
        <v>15</v>
      </c>
      <c r="M117" s="2" t="s">
        <v>27</v>
      </c>
      <c r="N117" s="3" t="n">
        <v>80</v>
      </c>
      <c r="O117" s="3" t="n">
        <v>5.0074</v>
      </c>
      <c r="P117" s="3" t="n">
        <v>127.517</v>
      </c>
      <c r="Q117" s="3" t="s">
        <v>301</v>
      </c>
      <c r="R117" s="2"/>
      <c r="S117" s="2"/>
      <c r="T117" s="4" t="n">
        <f aca="false">DATE(VALUE(MID(C117,7,4)),VALUE(MID(C117,4,2)),VALUE(MID(C117,1,2)))+TIME(VALUE(MID(C117,12,2)),VALUE(MID(C117,15,2)),0)</f>
        <v>44217.5159722222</v>
      </c>
      <c r="U117" s="2" t="str">
        <f aca="false">IF(AND(ISNUMBER(VALUE(MID(A117,7,1))),ISNUMBER(SEARCH("km",A117)),ISNUMBER(SEARCH("of",A117))),"Distance-location","Named-region")</f>
        <v>Named-region</v>
      </c>
      <c r="V117" s="2" t="str">
        <f aca="false">LOWER(M117)</f>
        <v>mww</v>
      </c>
      <c r="W117" s="5" t="str">
        <f aca="false">IF(COUNTIFS($A$2:$A$1001,A117,$C$2:$C$1001,C117)&gt;1,"Duplicate","Unique")</f>
        <v>Unique</v>
      </c>
    </row>
    <row r="118" customFormat="false" ht="15" hidden="false" customHeight="false" outlineLevel="0" collapsed="false">
      <c r="A118" s="2" t="s">
        <v>355</v>
      </c>
      <c r="B118" s="3" t="n">
        <v>6.7</v>
      </c>
      <c r="C118" s="2" t="s">
        <v>356</v>
      </c>
      <c r="D118" s="2" t="n">
        <v>8</v>
      </c>
      <c r="E118" s="2" t="n">
        <v>8</v>
      </c>
      <c r="F118" s="2" t="s">
        <v>25</v>
      </c>
      <c r="G118" s="2" t="n">
        <v>0</v>
      </c>
      <c r="H118" s="2" t="n">
        <v>776</v>
      </c>
      <c r="I118" s="2" t="s">
        <v>26</v>
      </c>
      <c r="J118" s="2" t="n">
        <v>0</v>
      </c>
      <c r="K118" s="2" t="n">
        <v>2.043</v>
      </c>
      <c r="L118" s="2" t="n">
        <v>22</v>
      </c>
      <c r="M118" s="2" t="s">
        <v>27</v>
      </c>
      <c r="N118" s="3" t="n">
        <v>10</v>
      </c>
      <c r="O118" s="3" t="n">
        <v>51.2407</v>
      </c>
      <c r="P118" s="3" t="n">
        <v>100.443</v>
      </c>
      <c r="Q118" s="3" t="s">
        <v>357</v>
      </c>
      <c r="R118" s="2" t="s">
        <v>84</v>
      </c>
      <c r="S118" s="2" t="s">
        <v>358</v>
      </c>
      <c r="T118" s="4" t="n">
        <f aca="false">DATE(VALUE(MID(C118,7,4)),VALUE(MID(C118,4,2)),VALUE(MID(C118,1,2)))+TIME(VALUE(MID(C118,12,2)),VALUE(MID(C118,15,2)),0)</f>
        <v>44207.8972222222</v>
      </c>
      <c r="U118" s="2" t="str">
        <f aca="false">IF(AND(ISNUMBER(VALUE(MID(A118,7,1))),ISNUMBER(SEARCH("km",A118)),ISNUMBER(SEARCH("of",A118))),"Distance-location","Named-region")</f>
        <v>Named-region</v>
      </c>
      <c r="V118" s="2" t="str">
        <f aca="false">LOWER(M118)</f>
        <v>mww</v>
      </c>
      <c r="W118" s="5" t="str">
        <f aca="false">IF(COUNTIFS($A$2:$A$1001,A118,$C$2:$C$1001,C118)&gt;1,"Duplicate","Unique")</f>
        <v>Unique</v>
      </c>
    </row>
    <row r="119" customFormat="false" ht="15" hidden="false" customHeight="false" outlineLevel="0" collapsed="false">
      <c r="A119" s="2" t="s">
        <v>359</v>
      </c>
      <c r="B119" s="3" t="n">
        <v>6.7</v>
      </c>
      <c r="C119" s="2" t="s">
        <v>360</v>
      </c>
      <c r="D119" s="2" t="n">
        <v>5</v>
      </c>
      <c r="E119" s="2" t="n">
        <v>5</v>
      </c>
      <c r="F119" s="2" t="s">
        <v>25</v>
      </c>
      <c r="G119" s="2" t="n">
        <v>1</v>
      </c>
      <c r="H119" s="2" t="n">
        <v>776</v>
      </c>
      <c r="I119" s="2" t="s">
        <v>26</v>
      </c>
      <c r="J119" s="2" t="n">
        <v>0</v>
      </c>
      <c r="K119" s="2" t="n">
        <v>1.319</v>
      </c>
      <c r="L119" s="2" t="n">
        <v>19</v>
      </c>
      <c r="M119" s="2" t="s">
        <v>27</v>
      </c>
      <c r="N119" s="3" t="n">
        <v>10</v>
      </c>
      <c r="O119" s="3" t="n">
        <v>-39.3264</v>
      </c>
      <c r="P119" s="3" t="n">
        <v>-74.9067</v>
      </c>
      <c r="Q119" s="3" t="s">
        <v>361</v>
      </c>
      <c r="R119" s="2"/>
      <c r="S119" s="2"/>
      <c r="T119" s="4" t="n">
        <f aca="false">DATE(VALUE(MID(C119,7,4)),VALUE(MID(C119,4,2)),VALUE(MID(C119,1,2)))+TIME(VALUE(MID(C119,12,2)),VALUE(MID(C119,15,2)),0)</f>
        <v>44192.9020833333</v>
      </c>
      <c r="U119" s="2" t="str">
        <f aca="false">IF(AND(ISNUMBER(VALUE(MID(A119,7,1))),ISNUMBER(SEARCH("km",A119)),ISNUMBER(SEARCH("of",A119))),"Distance-location","Named-region")</f>
        <v>Named-region</v>
      </c>
      <c r="V119" s="2" t="str">
        <f aca="false">LOWER(M119)</f>
        <v>mww</v>
      </c>
      <c r="W119" s="5" t="str">
        <f aca="false">IF(COUNTIFS($A$2:$A$1001,A119,$C$2:$C$1001,C119)&gt;1,"Duplicate","Unique")</f>
        <v>Unique</v>
      </c>
    </row>
    <row r="120" customFormat="false" ht="15" hidden="false" customHeight="false" outlineLevel="0" collapsed="false">
      <c r="A120" s="2" t="s">
        <v>362</v>
      </c>
      <c r="B120" s="3" t="n">
        <v>7</v>
      </c>
      <c r="C120" s="2" t="s">
        <v>363</v>
      </c>
      <c r="D120" s="2" t="n">
        <v>8</v>
      </c>
      <c r="E120" s="2" t="n">
        <v>7</v>
      </c>
      <c r="F120" s="2" t="s">
        <v>99</v>
      </c>
      <c r="G120" s="2" t="n">
        <v>0</v>
      </c>
      <c r="H120" s="2" t="n">
        <v>1527</v>
      </c>
      <c r="I120" s="2" t="s">
        <v>26</v>
      </c>
      <c r="J120" s="2" t="n">
        <v>0</v>
      </c>
      <c r="K120" s="2" t="n">
        <v>1.518</v>
      </c>
      <c r="L120" s="2" t="n">
        <v>18</v>
      </c>
      <c r="M120" s="2" t="s">
        <v>27</v>
      </c>
      <c r="N120" s="3" t="n">
        <v>21</v>
      </c>
      <c r="O120" s="3" t="n">
        <v>37.8973</v>
      </c>
      <c r="P120" s="3" t="n">
        <v>26.7953</v>
      </c>
      <c r="Q120" s="3" t="s">
        <v>364</v>
      </c>
      <c r="R120" s="2" t="s">
        <v>365</v>
      </c>
      <c r="S120" s="2" t="s">
        <v>366</v>
      </c>
      <c r="T120" s="4" t="n">
        <f aca="false">DATE(VALUE(MID(C120,7,4)),VALUE(MID(C120,4,2)),VALUE(MID(C120,1,2)))+TIME(VALUE(MID(C120,12,2)),VALUE(MID(C120,15,2)),0)</f>
        <v>44134.49375</v>
      </c>
      <c r="U120" s="2" t="str">
        <f aca="false">IF(AND(ISNUMBER(VALUE(MID(A120,7,1))),ISNUMBER(SEARCH("km",A120)),ISNUMBER(SEARCH("of",A120))),"Distance-location","Named-region")</f>
        <v>Named-region</v>
      </c>
      <c r="V120" s="2" t="str">
        <f aca="false">LOWER(M120)</f>
        <v>mww</v>
      </c>
      <c r="W120" s="5" t="str">
        <f aca="false">IF(COUNTIFS($A$2:$A$1001,A120,$C$2:$C$1001,C120)&gt;1,"Duplicate","Unique")</f>
        <v>Unique</v>
      </c>
    </row>
    <row r="121" customFormat="false" ht="15" hidden="false" customHeight="false" outlineLevel="0" collapsed="false">
      <c r="A121" s="2" t="s">
        <v>367</v>
      </c>
      <c r="B121" s="3" t="n">
        <v>7.6</v>
      </c>
      <c r="C121" s="2" t="s">
        <v>368</v>
      </c>
      <c r="D121" s="2" t="n">
        <v>9</v>
      </c>
      <c r="E121" s="2" t="n">
        <v>7</v>
      </c>
      <c r="F121" s="2" t="s">
        <v>32</v>
      </c>
      <c r="G121" s="2" t="n">
        <v>1</v>
      </c>
      <c r="H121" s="2" t="n">
        <v>1165</v>
      </c>
      <c r="I121" s="2" t="s">
        <v>26</v>
      </c>
      <c r="J121" s="2" t="n">
        <v>0</v>
      </c>
      <c r="K121" s="2" t="n">
        <v>0.23</v>
      </c>
      <c r="L121" s="2" t="n">
        <v>36</v>
      </c>
      <c r="M121" s="2" t="s">
        <v>27</v>
      </c>
      <c r="N121" s="3" t="n">
        <v>28.37</v>
      </c>
      <c r="O121" s="3" t="n">
        <v>54.662</v>
      </c>
      <c r="P121" s="3" t="n">
        <v>-159.675</v>
      </c>
      <c r="Q121" s="3" t="s">
        <v>41</v>
      </c>
      <c r="R121" s="2" t="s">
        <v>168</v>
      </c>
      <c r="S121" s="2" t="s">
        <v>265</v>
      </c>
      <c r="T121" s="4" t="n">
        <f aca="false">DATE(VALUE(MID(C121,7,4)),VALUE(MID(C121,4,2)),VALUE(MID(C121,1,2)))+TIME(VALUE(MID(C121,12,2)),VALUE(MID(C121,15,2)),0)</f>
        <v>44123.8708333333</v>
      </c>
      <c r="U121" s="2" t="str">
        <f aca="false">IF(AND(ISNUMBER(VALUE(MID(A121,7,1))),ISNUMBER(SEARCH("km",A121)),ISNUMBER(SEARCH("of",A121))),"Distance-location","Named-region")</f>
        <v>Named-region</v>
      </c>
      <c r="V121" s="2" t="str">
        <f aca="false">LOWER(M121)</f>
        <v>mww</v>
      </c>
      <c r="W121" s="5" t="str">
        <f aca="false">IF(COUNTIFS($A$2:$A$1001,A121,$C$2:$C$1001,C121)&gt;1,"Duplicate","Unique")</f>
        <v>Unique</v>
      </c>
    </row>
    <row r="122" customFormat="false" ht="15" hidden="false" customHeight="false" outlineLevel="0" collapsed="false">
      <c r="A122" s="2" t="s">
        <v>369</v>
      </c>
      <c r="B122" s="3" t="n">
        <v>6.9</v>
      </c>
      <c r="C122" s="2" t="s">
        <v>370</v>
      </c>
      <c r="D122" s="2" t="n">
        <v>0</v>
      </c>
      <c r="E122" s="2" t="n">
        <v>3</v>
      </c>
      <c r="F122" s="2" t="s">
        <v>25</v>
      </c>
      <c r="G122" s="2" t="n">
        <v>1</v>
      </c>
      <c r="H122" s="2" t="n">
        <v>732</v>
      </c>
      <c r="I122" s="2" t="s">
        <v>26</v>
      </c>
      <c r="J122" s="2" t="n">
        <v>0</v>
      </c>
      <c r="K122" s="2" t="n">
        <v>11.255</v>
      </c>
      <c r="L122" s="2" t="n">
        <v>16</v>
      </c>
      <c r="M122" s="2" t="s">
        <v>27</v>
      </c>
      <c r="N122" s="3" t="n">
        <v>10</v>
      </c>
      <c r="O122" s="3" t="n">
        <v>0.9604</v>
      </c>
      <c r="P122" s="3" t="n">
        <v>-26.8332</v>
      </c>
      <c r="Q122" s="3" t="s">
        <v>371</v>
      </c>
      <c r="R122" s="2"/>
      <c r="S122" s="2"/>
      <c r="T122" s="4" t="n">
        <f aca="false">DATE(VALUE(MID(C122,7,4)),VALUE(MID(C122,4,2)),VALUE(MID(C122,1,2)))+TIME(VALUE(MID(C122,12,2)),VALUE(MID(C122,15,2)),0)</f>
        <v>44092.9048611111</v>
      </c>
      <c r="U122" s="2" t="str">
        <f aca="false">IF(AND(ISNUMBER(VALUE(MID(A122,7,1))),ISNUMBER(SEARCH("km",A122)),ISNUMBER(SEARCH("of",A122))),"Distance-location","Named-region")</f>
        <v>Named-region</v>
      </c>
      <c r="V122" s="2" t="str">
        <f aca="false">LOWER(M122)</f>
        <v>mww</v>
      </c>
      <c r="W122" s="5" t="str">
        <f aca="false">IF(COUNTIFS($A$2:$A$1001,A122,$C$2:$C$1001,C122)&gt;1,"Duplicate","Unique")</f>
        <v>Unique</v>
      </c>
    </row>
    <row r="123" customFormat="false" ht="15" hidden="false" customHeight="false" outlineLevel="0" collapsed="false">
      <c r="A123" s="2" t="s">
        <v>372</v>
      </c>
      <c r="B123" s="3" t="n">
        <v>6.5</v>
      </c>
      <c r="C123" s="2" t="s">
        <v>373</v>
      </c>
      <c r="D123" s="2" t="n">
        <v>6</v>
      </c>
      <c r="E123" s="2" t="n">
        <v>6</v>
      </c>
      <c r="F123" s="2" t="s">
        <v>25</v>
      </c>
      <c r="G123" s="2" t="n">
        <v>0</v>
      </c>
      <c r="H123" s="2" t="n">
        <v>674</v>
      </c>
      <c r="I123" s="2" t="s">
        <v>26</v>
      </c>
      <c r="J123" s="2" t="n">
        <v>0</v>
      </c>
      <c r="K123" s="2" t="n">
        <v>0.388</v>
      </c>
      <c r="L123" s="2" t="n">
        <v>49</v>
      </c>
      <c r="M123" s="2" t="s">
        <v>27</v>
      </c>
      <c r="N123" s="3" t="n">
        <v>16</v>
      </c>
      <c r="O123" s="3" t="n">
        <v>-27.9285</v>
      </c>
      <c r="P123" s="3" t="n">
        <v>-71.3937</v>
      </c>
      <c r="Q123" s="3" t="s">
        <v>374</v>
      </c>
      <c r="R123" s="2"/>
      <c r="S123" s="2"/>
      <c r="T123" s="4" t="n">
        <f aca="false">DATE(VALUE(MID(C123,7,4)),VALUE(MID(C123,4,2)),VALUE(MID(C123,1,2)))+TIME(VALUE(MID(C123,12,2)),VALUE(MID(C123,15,2)),0)</f>
        <v>44075.88125</v>
      </c>
      <c r="U123" s="2" t="str">
        <f aca="false">IF(AND(ISNUMBER(VALUE(MID(A123,7,1))),ISNUMBER(SEARCH("km",A123)),ISNUMBER(SEARCH("of",A123))),"Distance-location","Named-region")</f>
        <v>Named-region</v>
      </c>
      <c r="V123" s="2" t="str">
        <f aca="false">LOWER(M123)</f>
        <v>mww</v>
      </c>
      <c r="W123" s="5" t="str">
        <f aca="false">IF(COUNTIFS($A$2:$A$1001,A123,$C$2:$C$1001,C123)&gt;1,"Duplicate","Unique")</f>
        <v>Unique</v>
      </c>
    </row>
    <row r="124" customFormat="false" ht="15" hidden="false" customHeight="false" outlineLevel="0" collapsed="false">
      <c r="A124" s="2" t="s">
        <v>375</v>
      </c>
      <c r="B124" s="3" t="n">
        <v>6.8</v>
      </c>
      <c r="C124" s="2" t="s">
        <v>376</v>
      </c>
      <c r="D124" s="2" t="n">
        <v>6</v>
      </c>
      <c r="E124" s="2" t="n">
        <v>7</v>
      </c>
      <c r="F124" s="2" t="s">
        <v>25</v>
      </c>
      <c r="G124" s="2" t="n">
        <v>1</v>
      </c>
      <c r="H124" s="2" t="n">
        <v>824</v>
      </c>
      <c r="I124" s="2" t="s">
        <v>26</v>
      </c>
      <c r="J124" s="2" t="n">
        <v>0</v>
      </c>
      <c r="K124" s="2" t="n">
        <v>0.312</v>
      </c>
      <c r="L124" s="2" t="n">
        <v>69</v>
      </c>
      <c r="M124" s="2" t="s">
        <v>27</v>
      </c>
      <c r="N124" s="3" t="n">
        <v>21</v>
      </c>
      <c r="O124" s="3" t="n">
        <v>-28.013</v>
      </c>
      <c r="P124" s="3" t="n">
        <v>-71.1958</v>
      </c>
      <c r="Q124" s="3" t="s">
        <v>374</v>
      </c>
      <c r="R124" s="2"/>
      <c r="S124" s="2" t="s">
        <v>377</v>
      </c>
      <c r="T124" s="4" t="n">
        <f aca="false">DATE(VALUE(MID(C124,7,4)),VALUE(MID(C124,4,2)),VALUE(MID(C124,1,2)))+TIME(VALUE(MID(C124,12,2)),VALUE(MID(C124,15,2)),0)</f>
        <v>44075.1729166667</v>
      </c>
      <c r="U124" s="2" t="str">
        <f aca="false">IF(AND(ISNUMBER(VALUE(MID(A124,7,1))),ISNUMBER(SEARCH("km",A124)),ISNUMBER(SEARCH("of",A124))),"Distance-location","Named-region")</f>
        <v>Named-region</v>
      </c>
      <c r="V124" s="2" t="str">
        <f aca="false">LOWER(M124)</f>
        <v>mww</v>
      </c>
      <c r="W124" s="5" t="str">
        <f aca="false">IF(COUNTIFS($A$2:$A$1001,A124,$C$2:$C$1001,C124)&gt;1,"Duplicate","Unique")</f>
        <v>Unique</v>
      </c>
    </row>
    <row r="125" customFormat="false" ht="15" hidden="false" customHeight="false" outlineLevel="0" collapsed="false">
      <c r="A125" s="2" t="s">
        <v>378</v>
      </c>
      <c r="B125" s="3" t="n">
        <v>6.5</v>
      </c>
      <c r="C125" s="2" t="s">
        <v>379</v>
      </c>
      <c r="D125" s="2" t="n">
        <v>4</v>
      </c>
      <c r="E125" s="2" t="n">
        <v>5</v>
      </c>
      <c r="F125" s="2" t="s">
        <v>25</v>
      </c>
      <c r="G125" s="2" t="n">
        <v>0</v>
      </c>
      <c r="H125" s="2" t="n">
        <v>651</v>
      </c>
      <c r="I125" s="2" t="s">
        <v>26</v>
      </c>
      <c r="J125" s="2" t="n">
        <v>0</v>
      </c>
      <c r="K125" s="2" t="n">
        <v>15.394</v>
      </c>
      <c r="L125" s="2" t="n">
        <v>31</v>
      </c>
      <c r="M125" s="2" t="s">
        <v>27</v>
      </c>
      <c r="N125" s="3" t="n">
        <v>10</v>
      </c>
      <c r="O125" s="3" t="n">
        <v>0.8696</v>
      </c>
      <c r="P125" s="3" t="n">
        <v>-29.7046</v>
      </c>
      <c r="Q125" s="3" t="s">
        <v>371</v>
      </c>
      <c r="R125" s="2"/>
      <c r="S125" s="2"/>
      <c r="T125" s="4" t="n">
        <f aca="false">DATE(VALUE(MID(C125,7,4)),VALUE(MID(C125,4,2)),VALUE(MID(C125,1,2)))+TIME(VALUE(MID(C125,12,2)),VALUE(MID(C125,15,2)),0)</f>
        <v>44073.8888888889</v>
      </c>
      <c r="U125" s="2" t="str">
        <f aca="false">IF(AND(ISNUMBER(VALUE(MID(A125,7,1))),ISNUMBER(SEARCH("km",A125)),ISNUMBER(SEARCH("of",A125))),"Distance-location","Named-region")</f>
        <v>Named-region</v>
      </c>
      <c r="V125" s="2" t="str">
        <f aca="false">LOWER(M125)</f>
        <v>mww</v>
      </c>
      <c r="W125" s="5" t="str">
        <f aca="false">IF(COUNTIFS($A$2:$A$1001,A125,$C$2:$C$1001,C125)&gt;1,"Duplicate","Unique")</f>
        <v>Unique</v>
      </c>
    </row>
    <row r="126" customFormat="false" ht="15" hidden="false" customHeight="false" outlineLevel="0" collapsed="false">
      <c r="A126" s="2" t="s">
        <v>380</v>
      </c>
      <c r="B126" s="3" t="n">
        <v>6.9</v>
      </c>
      <c r="C126" s="2" t="s">
        <v>381</v>
      </c>
      <c r="D126" s="2" t="n">
        <v>4</v>
      </c>
      <c r="E126" s="2" t="n">
        <v>3</v>
      </c>
      <c r="F126" s="2" t="s">
        <v>25</v>
      </c>
      <c r="G126" s="2" t="n">
        <v>0</v>
      </c>
      <c r="H126" s="2" t="n">
        <v>749</v>
      </c>
      <c r="I126" s="2" t="s">
        <v>26</v>
      </c>
      <c r="J126" s="2" t="n">
        <v>0</v>
      </c>
      <c r="K126" s="2" t="n">
        <v>2.267</v>
      </c>
      <c r="L126" s="2" t="n">
        <v>20</v>
      </c>
      <c r="M126" s="2" t="s">
        <v>27</v>
      </c>
      <c r="N126" s="3" t="n">
        <v>624</v>
      </c>
      <c r="O126" s="3" t="n">
        <v>-6.6704</v>
      </c>
      <c r="P126" s="3" t="n">
        <v>123.493</v>
      </c>
      <c r="Q126" s="3" t="s">
        <v>382</v>
      </c>
      <c r="R126" s="2"/>
      <c r="S126" s="2" t="s">
        <v>72</v>
      </c>
      <c r="T126" s="4" t="n">
        <f aca="false">DATE(VALUE(MID(C126,7,4)),VALUE(MID(C126,4,2)),VALUE(MID(C126,1,2)))+TIME(VALUE(MID(C126,12,2)),VALUE(MID(C126,15,2)),0)</f>
        <v>44064.1729166667</v>
      </c>
      <c r="U126" s="2" t="str">
        <f aca="false">IF(AND(ISNUMBER(VALUE(MID(A126,7,1))),ISNUMBER(SEARCH("km",A126)),ISNUMBER(SEARCH("of",A126))),"Distance-location","Named-region")</f>
        <v>Named-region</v>
      </c>
      <c r="V126" s="2" t="str">
        <f aca="false">LOWER(M126)</f>
        <v>mww</v>
      </c>
      <c r="W126" s="5" t="str">
        <f aca="false">IF(COUNTIFS($A$2:$A$1001,A126,$C$2:$C$1001,C126)&gt;1,"Duplicate","Unique")</f>
        <v>Unique</v>
      </c>
    </row>
    <row r="127" customFormat="false" ht="15" hidden="false" customHeight="false" outlineLevel="0" collapsed="false">
      <c r="A127" s="2" t="s">
        <v>383</v>
      </c>
      <c r="B127" s="3" t="n">
        <v>6.9</v>
      </c>
      <c r="C127" s="2" t="s">
        <v>384</v>
      </c>
      <c r="D127" s="2" t="n">
        <v>4</v>
      </c>
      <c r="E127" s="2" t="n">
        <v>4</v>
      </c>
      <c r="F127" s="2" t="s">
        <v>25</v>
      </c>
      <c r="G127" s="2" t="n">
        <v>0</v>
      </c>
      <c r="H127" s="2" t="n">
        <v>735</v>
      </c>
      <c r="I127" s="2" t="s">
        <v>26</v>
      </c>
      <c r="J127" s="2" t="n">
        <v>0</v>
      </c>
      <c r="K127" s="2" t="n">
        <v>1.716</v>
      </c>
      <c r="L127" s="2" t="n">
        <v>25</v>
      </c>
      <c r="M127" s="2" t="s">
        <v>27</v>
      </c>
      <c r="N127" s="3" t="n">
        <v>26</v>
      </c>
      <c r="O127" s="3" t="n">
        <v>-4.2791</v>
      </c>
      <c r="P127" s="3" t="n">
        <v>101.215</v>
      </c>
      <c r="Q127" s="3" t="s">
        <v>147</v>
      </c>
      <c r="R127" s="2"/>
      <c r="S127" s="2" t="s">
        <v>72</v>
      </c>
      <c r="T127" s="4" t="n">
        <f aca="false">DATE(VALUE(MID(C127,7,4)),VALUE(MID(C127,4,2)),VALUE(MID(C127,1,2)))+TIME(VALUE(MID(C127,12,2)),VALUE(MID(C127,15,2)),0)</f>
        <v>44061.9368055556</v>
      </c>
      <c r="U127" s="2" t="str">
        <f aca="false">IF(AND(ISNUMBER(VALUE(MID(A127,7,1))),ISNUMBER(SEARCH("km",A127)),ISNUMBER(SEARCH("of",A127))),"Distance-location","Named-region")</f>
        <v>Named-region</v>
      </c>
      <c r="V127" s="2" t="str">
        <f aca="false">LOWER(M127)</f>
        <v>mww</v>
      </c>
      <c r="W127" s="5" t="str">
        <f aca="false">IF(COUNTIFS($A$2:$A$1001,A127,$C$2:$C$1001,C127)&gt;1,"Duplicate","Unique")</f>
        <v>Unique</v>
      </c>
    </row>
    <row r="128" customFormat="false" ht="15" hidden="false" customHeight="false" outlineLevel="0" collapsed="false">
      <c r="A128" s="2" t="s">
        <v>385</v>
      </c>
      <c r="B128" s="3" t="n">
        <v>6.8</v>
      </c>
      <c r="C128" s="2" t="s">
        <v>386</v>
      </c>
      <c r="D128" s="2" t="n">
        <v>5</v>
      </c>
      <c r="E128" s="2" t="n">
        <v>4</v>
      </c>
      <c r="F128" s="2" t="s">
        <v>25</v>
      </c>
      <c r="G128" s="2" t="n">
        <v>0</v>
      </c>
      <c r="H128" s="2" t="n">
        <v>716</v>
      </c>
      <c r="I128" s="2" t="s">
        <v>26</v>
      </c>
      <c r="J128" s="2" t="n">
        <v>0</v>
      </c>
      <c r="K128" s="2" t="n">
        <v>1.816</v>
      </c>
      <c r="L128" s="2" t="n">
        <v>34</v>
      </c>
      <c r="M128" s="2" t="s">
        <v>27</v>
      </c>
      <c r="N128" s="3" t="n">
        <v>22</v>
      </c>
      <c r="O128" s="3" t="n">
        <v>-4.3724</v>
      </c>
      <c r="P128" s="3" t="n">
        <v>101.095</v>
      </c>
      <c r="Q128" s="3" t="s">
        <v>147</v>
      </c>
      <c r="R128" s="2"/>
      <c r="S128" s="2" t="s">
        <v>72</v>
      </c>
      <c r="T128" s="4" t="n">
        <f aca="false">DATE(VALUE(MID(C128,7,4)),VALUE(MID(C128,4,2)),VALUE(MID(C128,1,2)))+TIME(VALUE(MID(C128,12,2)),VALUE(MID(C128,15,2)),0)</f>
        <v>44061.9326388889</v>
      </c>
      <c r="U128" s="2" t="str">
        <f aca="false">IF(AND(ISNUMBER(VALUE(MID(A128,7,1))),ISNUMBER(SEARCH("km",A128)),ISNUMBER(SEARCH("of",A128))),"Distance-location","Named-region")</f>
        <v>Named-region</v>
      </c>
      <c r="V128" s="2" t="str">
        <f aca="false">LOWER(M128)</f>
        <v>mww</v>
      </c>
      <c r="W128" s="5" t="str">
        <f aca="false">IF(COUNTIFS($A$2:$A$1001,A128,$C$2:$C$1001,C128)&gt;1,"Duplicate","Unique")</f>
        <v>Unique</v>
      </c>
    </row>
    <row r="129" customFormat="false" ht="15" hidden="false" customHeight="false" outlineLevel="0" collapsed="false">
      <c r="A129" s="2" t="s">
        <v>387</v>
      </c>
      <c r="B129" s="3" t="n">
        <v>6.6</v>
      </c>
      <c r="C129" s="2" t="s">
        <v>388</v>
      </c>
      <c r="D129" s="2" t="n">
        <v>9</v>
      </c>
      <c r="E129" s="2" t="n">
        <v>8</v>
      </c>
      <c r="F129" s="2" t="s">
        <v>32</v>
      </c>
      <c r="G129" s="2" t="n">
        <v>1</v>
      </c>
      <c r="H129" s="2" t="n">
        <v>784</v>
      </c>
      <c r="I129" s="2" t="s">
        <v>26</v>
      </c>
      <c r="J129" s="2" t="n">
        <v>0</v>
      </c>
      <c r="K129" s="2" t="n">
        <v>5.128</v>
      </c>
      <c r="L129" s="2" t="n">
        <v>14</v>
      </c>
      <c r="M129" s="2" t="s">
        <v>27</v>
      </c>
      <c r="N129" s="3" t="n">
        <v>10</v>
      </c>
      <c r="O129" s="3" t="n">
        <v>12.0065</v>
      </c>
      <c r="P129" s="3" t="n">
        <v>124.13</v>
      </c>
      <c r="Q129" s="3" t="s">
        <v>389</v>
      </c>
      <c r="R129" s="2"/>
      <c r="S129" s="2" t="s">
        <v>195</v>
      </c>
      <c r="T129" s="4" t="n">
        <f aca="false">DATE(VALUE(MID(C129,7,4)),VALUE(MID(C129,4,2)),VALUE(MID(C129,1,2)))+TIME(VALUE(MID(C129,12,2)),VALUE(MID(C129,15,2)),0)</f>
        <v>44061.0020833333</v>
      </c>
      <c r="U129" s="2" t="str">
        <f aca="false">IF(AND(ISNUMBER(VALUE(MID(A129,7,1))),ISNUMBER(SEARCH("km",A129)),ISNUMBER(SEARCH("of",A129))),"Distance-location","Named-region")</f>
        <v>Named-region</v>
      </c>
      <c r="V129" s="2" t="str">
        <f aca="false">LOWER(M129)</f>
        <v>mww</v>
      </c>
      <c r="W129" s="5" t="str">
        <f aca="false">IF(COUNTIFS($A$2:$A$1001,A129,$C$2:$C$1001,C129)&gt;1,"Duplicate","Unique")</f>
        <v>Unique</v>
      </c>
    </row>
    <row r="130" customFormat="false" ht="15" hidden="false" customHeight="false" outlineLevel="0" collapsed="false">
      <c r="A130" s="2" t="s">
        <v>390</v>
      </c>
      <c r="B130" s="3" t="n">
        <v>7.8</v>
      </c>
      <c r="C130" s="2" t="s">
        <v>391</v>
      </c>
      <c r="D130" s="2" t="n">
        <v>9</v>
      </c>
      <c r="E130" s="2" t="n">
        <v>7</v>
      </c>
      <c r="F130" s="2" t="s">
        <v>25</v>
      </c>
      <c r="G130" s="2" t="n">
        <v>1</v>
      </c>
      <c r="H130" s="2" t="n">
        <v>1111</v>
      </c>
      <c r="I130" s="2" t="s">
        <v>26</v>
      </c>
      <c r="J130" s="2" t="n">
        <v>0</v>
      </c>
      <c r="K130" s="2" t="n">
        <v>0.621</v>
      </c>
      <c r="L130" s="2" t="n">
        <v>60</v>
      </c>
      <c r="M130" s="2" t="s">
        <v>27</v>
      </c>
      <c r="N130" s="3" t="n">
        <v>28</v>
      </c>
      <c r="O130" s="3" t="n">
        <v>55.1079</v>
      </c>
      <c r="P130" s="3" t="n">
        <v>-158.477</v>
      </c>
      <c r="Q130" s="3" t="s">
        <v>293</v>
      </c>
      <c r="R130" s="2"/>
      <c r="S130" s="2"/>
      <c r="T130" s="4" t="n">
        <f aca="false">DATE(VALUE(MID(C130,7,4)),VALUE(MID(C130,4,2)),VALUE(MID(C130,1,2)))+TIME(VALUE(MID(C130,12,2)),VALUE(MID(C130,15,2)),0)</f>
        <v>44034.2583333333</v>
      </c>
      <c r="U130" s="2" t="str">
        <f aca="false">IF(AND(ISNUMBER(VALUE(MID(A130,7,1))),ISNUMBER(SEARCH("km",A130)),ISNUMBER(SEARCH("of",A130))),"Distance-location","Named-region")</f>
        <v>Named-region</v>
      </c>
      <c r="V130" s="2" t="str">
        <f aca="false">LOWER(M130)</f>
        <v>mww</v>
      </c>
      <c r="W130" s="5" t="str">
        <f aca="false">IF(COUNTIFS($A$2:$A$1001,A130,$C$2:$C$1001,C130)&gt;1,"Duplicate","Unique")</f>
        <v>Unique</v>
      </c>
    </row>
    <row r="131" customFormat="false" ht="28.35" hidden="false" customHeight="false" outlineLevel="0" collapsed="false">
      <c r="A131" s="2" t="s">
        <v>392</v>
      </c>
      <c r="B131" s="3" t="n">
        <v>7</v>
      </c>
      <c r="C131" s="2" t="s">
        <v>393</v>
      </c>
      <c r="D131" s="2" t="n">
        <v>6</v>
      </c>
      <c r="E131" s="2" t="n">
        <v>7</v>
      </c>
      <c r="F131" s="2" t="s">
        <v>25</v>
      </c>
      <c r="G131" s="2" t="n">
        <v>1</v>
      </c>
      <c r="H131" s="2" t="n">
        <v>820</v>
      </c>
      <c r="I131" s="2" t="s">
        <v>26</v>
      </c>
      <c r="J131" s="2" t="n">
        <v>0</v>
      </c>
      <c r="K131" s="2" t="n">
        <v>1.671</v>
      </c>
      <c r="L131" s="2" t="n">
        <v>18</v>
      </c>
      <c r="M131" s="2" t="s">
        <v>27</v>
      </c>
      <c r="N131" s="3" t="n">
        <v>73</v>
      </c>
      <c r="O131" s="3" t="n">
        <v>-7.847</v>
      </c>
      <c r="P131" s="3" t="n">
        <v>147.755</v>
      </c>
      <c r="Q131" s="3" t="s">
        <v>394</v>
      </c>
      <c r="R131" s="2"/>
      <c r="S131" s="2" t="s">
        <v>89</v>
      </c>
      <c r="T131" s="4" t="n">
        <f aca="false">DATE(VALUE(MID(C131,7,4)),VALUE(MID(C131,4,2)),VALUE(MID(C131,1,2)))+TIME(VALUE(MID(C131,12,2)),VALUE(MID(C131,15,2)),0)</f>
        <v>44029.1180555556</v>
      </c>
      <c r="U131" s="2" t="str">
        <f aca="false">IF(AND(ISNUMBER(VALUE(MID(A131,7,1))),ISNUMBER(SEARCH("km",A131)),ISNUMBER(SEARCH("of",A131))),"Distance-location","Named-region")</f>
        <v>Named-region</v>
      </c>
      <c r="V131" s="2" t="str">
        <f aca="false">LOWER(M131)</f>
        <v>mww</v>
      </c>
      <c r="W131" s="5" t="str">
        <f aca="false">IF(COUNTIFS($A$2:$A$1001,A131,$C$2:$C$1001,C131)&gt;1,"Duplicate","Unique")</f>
        <v>Unique</v>
      </c>
    </row>
    <row r="132" customFormat="false" ht="15" hidden="false" customHeight="false" outlineLevel="0" collapsed="false">
      <c r="A132" s="2" t="s">
        <v>395</v>
      </c>
      <c r="B132" s="3" t="n">
        <v>6.6</v>
      </c>
      <c r="C132" s="2" t="s">
        <v>396</v>
      </c>
      <c r="D132" s="2" t="n">
        <v>4</v>
      </c>
      <c r="E132" s="2" t="n">
        <v>2</v>
      </c>
      <c r="F132" s="2" t="s">
        <v>25</v>
      </c>
      <c r="G132" s="2" t="n">
        <v>0</v>
      </c>
      <c r="H132" s="2" t="n">
        <v>684</v>
      </c>
      <c r="I132" s="2" t="s">
        <v>26</v>
      </c>
      <c r="J132" s="2" t="n">
        <v>0</v>
      </c>
      <c r="K132" s="2" t="n">
        <v>1.458</v>
      </c>
      <c r="L132" s="2" t="n">
        <v>14</v>
      </c>
      <c r="M132" s="2" t="s">
        <v>27</v>
      </c>
      <c r="N132" s="3" t="n">
        <v>533.76</v>
      </c>
      <c r="O132" s="3" t="n">
        <v>-5.6368</v>
      </c>
      <c r="P132" s="3" t="n">
        <v>110.678</v>
      </c>
      <c r="Q132" s="3" t="s">
        <v>397</v>
      </c>
      <c r="R132" s="2"/>
      <c r="S132" s="2" t="s">
        <v>72</v>
      </c>
      <c r="T132" s="4" t="n">
        <f aca="false">DATE(VALUE(MID(C132,7,4)),VALUE(MID(C132,4,2)),VALUE(MID(C132,1,2)))+TIME(VALUE(MID(C132,12,2)),VALUE(MID(C132,15,2)),0)</f>
        <v>44018.9541666667</v>
      </c>
      <c r="U132" s="2" t="str">
        <f aca="false">IF(AND(ISNUMBER(VALUE(MID(A132,7,1))),ISNUMBER(SEARCH("km",A132)),ISNUMBER(SEARCH("of",A132))),"Distance-location","Named-region")</f>
        <v>Named-region</v>
      </c>
      <c r="V132" s="2" t="str">
        <f aca="false">LOWER(M132)</f>
        <v>mww</v>
      </c>
      <c r="W132" s="5" t="str">
        <f aca="false">IF(COUNTIFS($A$2:$A$1001,A132,$C$2:$C$1001,C132)&gt;1,"Duplicate","Unique")</f>
        <v>Unique</v>
      </c>
    </row>
    <row r="133" customFormat="false" ht="15" hidden="false" customHeight="false" outlineLevel="0" collapsed="false">
      <c r="A133" s="2" t="s">
        <v>398</v>
      </c>
      <c r="B133" s="3" t="n">
        <v>7.4</v>
      </c>
      <c r="C133" s="2" t="s">
        <v>399</v>
      </c>
      <c r="D133" s="2" t="n">
        <v>8</v>
      </c>
      <c r="E133" s="2" t="n">
        <v>8</v>
      </c>
      <c r="F133" s="2" t="s">
        <v>99</v>
      </c>
      <c r="G133" s="2" t="n">
        <v>1</v>
      </c>
      <c r="H133" s="2" t="n">
        <v>1494</v>
      </c>
      <c r="I133" s="2" t="s">
        <v>26</v>
      </c>
      <c r="J133" s="2" t="n">
        <v>0</v>
      </c>
      <c r="K133" s="2" t="n">
        <v>0.151</v>
      </c>
      <c r="L133" s="2" t="n">
        <v>30</v>
      </c>
      <c r="M133" s="2" t="s">
        <v>27</v>
      </c>
      <c r="N133" s="3" t="n">
        <v>20</v>
      </c>
      <c r="O133" s="3" t="n">
        <v>15.9163</v>
      </c>
      <c r="P133" s="3" t="n">
        <v>-95.9533</v>
      </c>
      <c r="Q133" s="3" t="s">
        <v>400</v>
      </c>
      <c r="R133" s="2" t="s">
        <v>168</v>
      </c>
      <c r="S133" s="2" t="s">
        <v>169</v>
      </c>
      <c r="T133" s="4" t="n">
        <f aca="false">DATE(VALUE(MID(C133,7,4)),VALUE(MID(C133,4,2)),VALUE(MID(C133,1,2)))+TIME(VALUE(MID(C133,12,2)),VALUE(MID(C133,15,2)),0)</f>
        <v>44005.6451388889</v>
      </c>
      <c r="U133" s="2" t="str">
        <f aca="false">IF(AND(ISNUMBER(VALUE(MID(A133,7,1))),ISNUMBER(SEARCH("km",A133)),ISNUMBER(SEARCH("of",A133))),"Distance-location","Named-region")</f>
        <v>Named-region</v>
      </c>
      <c r="V133" s="2" t="str">
        <f aca="false">LOWER(M133)</f>
        <v>mww</v>
      </c>
      <c r="W133" s="5" t="str">
        <f aca="false">IF(COUNTIFS($A$2:$A$1001,A133,$C$2:$C$1001,C133)&gt;1,"Duplicate","Unique")</f>
        <v>Unique</v>
      </c>
    </row>
    <row r="134" customFormat="false" ht="15" hidden="false" customHeight="false" outlineLevel="0" collapsed="false">
      <c r="A134" s="2" t="s">
        <v>401</v>
      </c>
      <c r="B134" s="3" t="n">
        <v>7.4</v>
      </c>
      <c r="C134" s="2" t="s">
        <v>402</v>
      </c>
      <c r="D134" s="2" t="n">
        <v>7</v>
      </c>
      <c r="E134" s="2" t="n">
        <v>7</v>
      </c>
      <c r="F134" s="2" t="s">
        <v>25</v>
      </c>
      <c r="G134" s="2" t="n">
        <v>1</v>
      </c>
      <c r="H134" s="2" t="n">
        <v>873</v>
      </c>
      <c r="I134" s="2" t="s">
        <v>26</v>
      </c>
      <c r="J134" s="2" t="n">
        <v>0</v>
      </c>
      <c r="K134" s="2" t="n">
        <v>4.035</v>
      </c>
      <c r="L134" s="2" t="n">
        <v>23</v>
      </c>
      <c r="M134" s="2" t="s">
        <v>27</v>
      </c>
      <c r="N134" s="3" t="n">
        <v>10</v>
      </c>
      <c r="O134" s="3" t="n">
        <v>-33.2938</v>
      </c>
      <c r="P134" s="3" t="n">
        <v>-177.838</v>
      </c>
      <c r="Q134" s="3" t="s">
        <v>191</v>
      </c>
      <c r="R134" s="2"/>
      <c r="S134" s="2"/>
      <c r="T134" s="4" t="n">
        <f aca="false">DATE(VALUE(MID(C134,7,4)),VALUE(MID(C134,4,2)),VALUE(MID(C134,1,2)))+TIME(VALUE(MID(C134,12,2)),VALUE(MID(C134,15,2)),0)</f>
        <v>44000.5340277778</v>
      </c>
      <c r="U134" s="2" t="str">
        <f aca="false">IF(AND(ISNUMBER(VALUE(MID(A134,7,1))),ISNUMBER(SEARCH("km",A134)),ISNUMBER(SEARCH("of",A134))),"Distance-location","Named-region")</f>
        <v>Named-region</v>
      </c>
      <c r="V134" s="2" t="str">
        <f aca="false">LOWER(M134)</f>
        <v>mww</v>
      </c>
      <c r="W134" s="5" t="str">
        <f aca="false">IF(COUNTIFS($A$2:$A$1001,A134,$C$2:$C$1001,C134)&gt;1,"Duplicate","Unique")</f>
        <v>Unique</v>
      </c>
    </row>
    <row r="135" customFormat="false" ht="15" hidden="false" customHeight="false" outlineLevel="0" collapsed="false">
      <c r="A135" s="2" t="s">
        <v>403</v>
      </c>
      <c r="B135" s="3" t="n">
        <v>6.6</v>
      </c>
      <c r="C135" s="2" t="s">
        <v>404</v>
      </c>
      <c r="D135" s="2" t="n">
        <v>5</v>
      </c>
      <c r="E135" s="2" t="n">
        <v>4</v>
      </c>
      <c r="F135" s="2" t="s">
        <v>25</v>
      </c>
      <c r="G135" s="2" t="n">
        <v>1</v>
      </c>
      <c r="H135" s="2" t="n">
        <v>734</v>
      </c>
      <c r="I135" s="2" t="s">
        <v>26</v>
      </c>
      <c r="J135" s="2" t="n">
        <v>0</v>
      </c>
      <c r="K135" s="2" t="n">
        <v>2.015</v>
      </c>
      <c r="L135" s="2" t="n">
        <v>18</v>
      </c>
      <c r="M135" s="2" t="s">
        <v>27</v>
      </c>
      <c r="N135" s="3" t="n">
        <v>165</v>
      </c>
      <c r="O135" s="3" t="n">
        <v>28.9386</v>
      </c>
      <c r="P135" s="3" t="n">
        <v>128.262</v>
      </c>
      <c r="Q135" s="3" t="s">
        <v>405</v>
      </c>
      <c r="R135" s="2"/>
      <c r="S135" s="2"/>
      <c r="T135" s="4" t="n">
        <f aca="false">DATE(VALUE(MID(C135,7,4)),VALUE(MID(C135,4,2)),VALUE(MID(C135,1,2)))+TIME(VALUE(MID(C135,12,2)),VALUE(MID(C135,15,2)),0)</f>
        <v>43995.6604166667</v>
      </c>
      <c r="U135" s="2" t="str">
        <f aca="false">IF(AND(ISNUMBER(VALUE(MID(A135,7,1))),ISNUMBER(SEARCH("km",A135)),ISNUMBER(SEARCH("of",A135))),"Distance-location","Named-region")</f>
        <v>Named-region</v>
      </c>
      <c r="V135" s="2" t="str">
        <f aca="false">LOWER(M135)</f>
        <v>mww</v>
      </c>
      <c r="W135" s="5" t="str">
        <f aca="false">IF(COUNTIFS($A$2:$A$1001,A135,$C$2:$C$1001,C135)&gt;1,"Duplicate","Unique")</f>
        <v>Unique</v>
      </c>
    </row>
    <row r="136" customFormat="false" ht="15" hidden="false" customHeight="false" outlineLevel="0" collapsed="false">
      <c r="A136" s="2" t="s">
        <v>406</v>
      </c>
      <c r="B136" s="3" t="n">
        <v>6.8</v>
      </c>
      <c r="C136" s="2" t="s">
        <v>407</v>
      </c>
      <c r="D136" s="2" t="n">
        <v>6</v>
      </c>
      <c r="E136" s="2" t="n">
        <v>6</v>
      </c>
      <c r="F136" s="2" t="s">
        <v>25</v>
      </c>
      <c r="G136" s="2" t="n">
        <v>1</v>
      </c>
      <c r="H136" s="2" t="n">
        <v>835</v>
      </c>
      <c r="I136" s="2" t="s">
        <v>26</v>
      </c>
      <c r="J136" s="2" t="n">
        <v>0</v>
      </c>
      <c r="K136" s="2" t="n">
        <v>1.164</v>
      </c>
      <c r="L136" s="2" t="n">
        <v>21</v>
      </c>
      <c r="M136" s="2" t="s">
        <v>27</v>
      </c>
      <c r="N136" s="3" t="n">
        <v>112</v>
      </c>
      <c r="O136" s="3" t="n">
        <v>-23.2966</v>
      </c>
      <c r="P136" s="3" t="n">
        <v>-68.4204</v>
      </c>
      <c r="Q136" s="3" t="s">
        <v>408</v>
      </c>
      <c r="R136" s="2" t="s">
        <v>37</v>
      </c>
      <c r="S136" s="2" t="s">
        <v>377</v>
      </c>
      <c r="T136" s="4" t="n">
        <f aca="false">DATE(VALUE(MID(C136,7,4)),VALUE(MID(C136,4,2)),VALUE(MID(C136,1,2)))+TIME(VALUE(MID(C136,12,2)),VALUE(MID(C136,15,2)),0)</f>
        <v>43985.3159722222</v>
      </c>
      <c r="U136" s="2" t="str">
        <f aca="false">IF(AND(ISNUMBER(VALUE(MID(A136,7,1))),ISNUMBER(SEARCH("km",A136)),ISNUMBER(SEARCH("of",A136))),"Distance-location","Named-region")</f>
        <v>Named-region</v>
      </c>
      <c r="V136" s="2" t="str">
        <f aca="false">LOWER(M136)</f>
        <v>mww</v>
      </c>
      <c r="W136" s="5" t="str">
        <f aca="false">IF(COUNTIFS($A$2:$A$1001,A136,$C$2:$C$1001,C136)&gt;1,"Duplicate","Unique")</f>
        <v>Unique</v>
      </c>
    </row>
    <row r="137" customFormat="false" ht="15" hidden="false" customHeight="false" outlineLevel="0" collapsed="false">
      <c r="A137" s="2" t="s">
        <v>409</v>
      </c>
      <c r="B137" s="3" t="n">
        <v>6.5</v>
      </c>
      <c r="C137" s="2" t="s">
        <v>410</v>
      </c>
      <c r="D137" s="2" t="n">
        <v>7</v>
      </c>
      <c r="E137" s="2" t="n">
        <v>8</v>
      </c>
      <c r="F137" s="2" t="s">
        <v>25</v>
      </c>
      <c r="G137" s="2" t="n">
        <v>0</v>
      </c>
      <c r="H137" s="2" t="n">
        <v>1320</v>
      </c>
      <c r="I137" s="2" t="s">
        <v>411</v>
      </c>
      <c r="J137" s="2" t="n">
        <v>27</v>
      </c>
      <c r="K137" s="2" t="n">
        <v>0.357</v>
      </c>
      <c r="L137" s="2" t="n">
        <v>55.79</v>
      </c>
      <c r="M137" s="2" t="s">
        <v>412</v>
      </c>
      <c r="N137" s="3" t="n">
        <v>2.7</v>
      </c>
      <c r="O137" s="3" t="n">
        <v>38.1689</v>
      </c>
      <c r="P137" s="3" t="n">
        <v>-117.85</v>
      </c>
      <c r="Q137" s="3" t="s">
        <v>413</v>
      </c>
      <c r="R137" s="2" t="s">
        <v>168</v>
      </c>
      <c r="S137" s="2" t="s">
        <v>265</v>
      </c>
      <c r="T137" s="4" t="n">
        <f aca="false">DATE(VALUE(MID(C137,7,4)),VALUE(MID(C137,4,2)),VALUE(MID(C137,1,2)))+TIME(VALUE(MID(C137,12,2)),VALUE(MID(C137,15,2)),0)</f>
        <v>43966.4604166667</v>
      </c>
      <c r="U137" s="2" t="str">
        <f aca="false">IF(AND(ISNUMBER(VALUE(MID(A137,7,1))),ISNUMBER(SEARCH("km",A137)),ISNUMBER(SEARCH("of",A137))),"Distance-location","Named-region")</f>
        <v>Named-region</v>
      </c>
      <c r="V137" s="2" t="str">
        <f aca="false">LOWER(M137)</f>
        <v>ml</v>
      </c>
      <c r="W137" s="5" t="str">
        <f aca="false">IF(COUNTIFS($A$2:$A$1001,A137,$C$2:$C$1001,C137)&gt;1,"Duplicate","Unique")</f>
        <v>Unique</v>
      </c>
    </row>
    <row r="138" customFormat="false" ht="15" hidden="false" customHeight="false" outlineLevel="0" collapsed="false">
      <c r="A138" s="2" t="s">
        <v>414</v>
      </c>
      <c r="B138" s="3" t="n">
        <v>6.6</v>
      </c>
      <c r="C138" s="2" t="s">
        <v>415</v>
      </c>
      <c r="D138" s="2" t="n">
        <v>4</v>
      </c>
      <c r="E138" s="2" t="n">
        <v>6</v>
      </c>
      <c r="F138" s="2" t="s">
        <v>25</v>
      </c>
      <c r="G138" s="2" t="n">
        <v>1</v>
      </c>
      <c r="H138" s="2" t="n">
        <v>671</v>
      </c>
      <c r="I138" s="2" t="s">
        <v>26</v>
      </c>
      <c r="J138" s="2" t="n">
        <v>0</v>
      </c>
      <c r="K138" s="2" t="n">
        <v>3.403</v>
      </c>
      <c r="L138" s="2" t="n">
        <v>12</v>
      </c>
      <c r="M138" s="2" t="s">
        <v>27</v>
      </c>
      <c r="N138" s="3" t="n">
        <v>107</v>
      </c>
      <c r="O138" s="3" t="n">
        <v>-12.0662</v>
      </c>
      <c r="P138" s="3" t="n">
        <v>166.648</v>
      </c>
      <c r="Q138" s="3" t="s">
        <v>416</v>
      </c>
      <c r="R138" s="2"/>
      <c r="S138" s="2"/>
      <c r="T138" s="4" t="n">
        <f aca="false">DATE(VALUE(MID(C138,7,4)),VALUE(MID(C138,4,2)),VALUE(MID(C138,1,2)))+TIME(VALUE(MID(C138,12,2)),VALUE(MID(C138,15,2)),0)</f>
        <v>43963.9451388889</v>
      </c>
      <c r="U138" s="2" t="str">
        <f aca="false">IF(AND(ISNUMBER(VALUE(MID(A138,7,1))),ISNUMBER(SEARCH("km",A138)),ISNUMBER(SEARCH("of",A138))),"Distance-location","Named-region")</f>
        <v>Named-region</v>
      </c>
      <c r="V138" s="2" t="str">
        <f aca="false">LOWER(M138)</f>
        <v>mww</v>
      </c>
      <c r="W138" s="5" t="str">
        <f aca="false">IF(COUNTIFS($A$2:$A$1001,A138,$C$2:$C$1001,C138)&gt;1,"Duplicate","Unique")</f>
        <v>Unique</v>
      </c>
    </row>
    <row r="139" customFormat="false" ht="15" hidden="false" customHeight="false" outlineLevel="0" collapsed="false">
      <c r="A139" s="2" t="s">
        <v>417</v>
      </c>
      <c r="B139" s="3" t="n">
        <v>6.8</v>
      </c>
      <c r="C139" s="2" t="s">
        <v>418</v>
      </c>
      <c r="D139" s="2" t="n">
        <v>4</v>
      </c>
      <c r="E139" s="2" t="n">
        <v>6</v>
      </c>
      <c r="F139" s="2" t="s">
        <v>25</v>
      </c>
      <c r="G139" s="2" t="n">
        <v>0</v>
      </c>
      <c r="H139" s="2" t="n">
        <v>738</v>
      </c>
      <c r="I139" s="2" t="s">
        <v>26</v>
      </c>
      <c r="J139" s="2" t="n">
        <v>0</v>
      </c>
      <c r="K139" s="2" t="n">
        <v>1.921</v>
      </c>
      <c r="L139" s="2" t="n">
        <v>16</v>
      </c>
      <c r="M139" s="2" t="s">
        <v>27</v>
      </c>
      <c r="N139" s="3" t="n">
        <v>96</v>
      </c>
      <c r="O139" s="3" t="n">
        <v>-6.7762</v>
      </c>
      <c r="P139" s="3" t="n">
        <v>129.785</v>
      </c>
      <c r="Q139" s="3" t="s">
        <v>419</v>
      </c>
      <c r="R139" s="2"/>
      <c r="S139" s="2" t="s">
        <v>72</v>
      </c>
      <c r="T139" s="4" t="n">
        <f aca="false">DATE(VALUE(MID(C139,7,4)),VALUE(MID(C139,4,2)),VALUE(MID(C139,1,2)))+TIME(VALUE(MID(C139,12,2)),VALUE(MID(C139,15,2)),0)</f>
        <v>43957.5784722222</v>
      </c>
      <c r="U139" s="2" t="str">
        <f aca="false">IF(AND(ISNUMBER(VALUE(MID(A139,7,1))),ISNUMBER(SEARCH("km",A139)),ISNUMBER(SEARCH("of",A139))),"Distance-location","Named-region")</f>
        <v>Named-region</v>
      </c>
      <c r="V139" s="2" t="str">
        <f aca="false">LOWER(M139)</f>
        <v>mww</v>
      </c>
      <c r="W139" s="5" t="str">
        <f aca="false">IF(COUNTIFS($A$2:$A$1001,A139,$C$2:$C$1001,C139)&gt;1,"Duplicate","Unique")</f>
        <v>Unique</v>
      </c>
    </row>
    <row r="140" customFormat="false" ht="15" hidden="false" customHeight="false" outlineLevel="0" collapsed="false">
      <c r="A140" s="2" t="s">
        <v>420</v>
      </c>
      <c r="B140" s="3" t="n">
        <v>6.5</v>
      </c>
      <c r="C140" s="2" t="s">
        <v>421</v>
      </c>
      <c r="D140" s="2" t="n">
        <v>7</v>
      </c>
      <c r="E140" s="2" t="n">
        <v>6</v>
      </c>
      <c r="F140" s="2" t="s">
        <v>25</v>
      </c>
      <c r="G140" s="2" t="n">
        <v>0</v>
      </c>
      <c r="H140" s="2" t="n">
        <v>678</v>
      </c>
      <c r="I140" s="2" t="s">
        <v>26</v>
      </c>
      <c r="J140" s="2" t="n">
        <v>0</v>
      </c>
      <c r="K140" s="2" t="n">
        <v>1.293</v>
      </c>
      <c r="L140" s="2" t="n">
        <v>19</v>
      </c>
      <c r="M140" s="2" t="s">
        <v>27</v>
      </c>
      <c r="N140" s="3" t="n">
        <v>10</v>
      </c>
      <c r="O140" s="3" t="n">
        <v>34.1818</v>
      </c>
      <c r="P140" s="3" t="n">
        <v>25.7101</v>
      </c>
      <c r="Q140" s="3" t="s">
        <v>422</v>
      </c>
      <c r="R140" s="2"/>
      <c r="S140" s="2"/>
      <c r="T140" s="4" t="n">
        <f aca="false">DATE(VALUE(MID(C140,7,4)),VALUE(MID(C140,4,2)),VALUE(MID(C140,1,2)))+TIME(VALUE(MID(C140,12,2)),VALUE(MID(C140,15,2)),0)</f>
        <v>43953.5354166667</v>
      </c>
      <c r="U140" s="2" t="str">
        <f aca="false">IF(AND(ISNUMBER(VALUE(MID(A140,7,1))),ISNUMBER(SEARCH("km",A140)),ISNUMBER(SEARCH("of",A140))),"Distance-location","Named-region")</f>
        <v>Named-region</v>
      </c>
      <c r="V140" s="2" t="str">
        <f aca="false">LOWER(M140)</f>
        <v>mww</v>
      </c>
      <c r="W140" s="5" t="str">
        <f aca="false">IF(COUNTIFS($A$2:$A$1001,A140,$C$2:$C$1001,C140)&gt;1,"Duplicate","Unique")</f>
        <v>Unique</v>
      </c>
    </row>
    <row r="141" customFormat="false" ht="15" hidden="false" customHeight="false" outlineLevel="0" collapsed="false">
      <c r="A141" s="2" t="s">
        <v>423</v>
      </c>
      <c r="B141" s="3" t="n">
        <v>6.5</v>
      </c>
      <c r="C141" s="2" t="s">
        <v>424</v>
      </c>
      <c r="D141" s="2" t="n">
        <v>8</v>
      </c>
      <c r="E141" s="2" t="n">
        <v>8</v>
      </c>
      <c r="F141" s="2" t="s">
        <v>25</v>
      </c>
      <c r="G141" s="2" t="n">
        <v>0</v>
      </c>
      <c r="H141" s="2" t="n">
        <v>1410</v>
      </c>
      <c r="I141" s="2" t="s">
        <v>26</v>
      </c>
      <c r="J141" s="2" t="n">
        <v>0</v>
      </c>
      <c r="K141" s="2" t="n">
        <v>0.885</v>
      </c>
      <c r="L141" s="2" t="n">
        <v>31</v>
      </c>
      <c r="M141" s="2" t="s">
        <v>27</v>
      </c>
      <c r="N141" s="3" t="n">
        <v>12.06</v>
      </c>
      <c r="O141" s="3" t="n">
        <v>44.4646</v>
      </c>
      <c r="P141" s="3" t="n">
        <v>-115.118</v>
      </c>
      <c r="Q141" s="3" t="s">
        <v>425</v>
      </c>
      <c r="R141" s="2" t="s">
        <v>168</v>
      </c>
      <c r="S141" s="2" t="s">
        <v>265</v>
      </c>
      <c r="T141" s="4" t="n">
        <f aca="false">DATE(VALUE(MID(C141,7,4)),VALUE(MID(C141,4,2)),VALUE(MID(C141,1,2)))+TIME(VALUE(MID(C141,12,2)),VALUE(MID(C141,15,2)),0)</f>
        <v>43921.9944444444</v>
      </c>
      <c r="U141" s="2" t="str">
        <f aca="false">IF(AND(ISNUMBER(VALUE(MID(A141,7,1))),ISNUMBER(SEARCH("km",A141)),ISNUMBER(SEARCH("of",A141))),"Distance-location","Named-region")</f>
        <v>Named-region</v>
      </c>
      <c r="V141" s="2" t="str">
        <f aca="false">LOWER(M141)</f>
        <v>mww</v>
      </c>
      <c r="W141" s="5" t="str">
        <f aca="false">IF(COUNTIFS($A$2:$A$1001,A141,$C$2:$C$1001,C141)&gt;1,"Duplicate","Unique")</f>
        <v>Unique</v>
      </c>
    </row>
    <row r="142" customFormat="false" ht="15" hidden="false" customHeight="false" outlineLevel="0" collapsed="false">
      <c r="A142" s="2" t="s">
        <v>426</v>
      </c>
      <c r="B142" s="3" t="n">
        <v>7.5</v>
      </c>
      <c r="C142" s="2" t="s">
        <v>427</v>
      </c>
      <c r="D142" s="2" t="n">
        <v>6</v>
      </c>
      <c r="E142" s="2" t="n">
        <v>5</v>
      </c>
      <c r="F142" s="2" t="s">
        <v>25</v>
      </c>
      <c r="G142" s="2" t="n">
        <v>1</v>
      </c>
      <c r="H142" s="2" t="n">
        <v>879</v>
      </c>
      <c r="I142" s="2" t="s">
        <v>26</v>
      </c>
      <c r="J142" s="2" t="n">
        <v>0</v>
      </c>
      <c r="K142" s="2" t="n">
        <v>4.109</v>
      </c>
      <c r="L142" s="2" t="n">
        <v>12</v>
      </c>
      <c r="M142" s="2" t="s">
        <v>27</v>
      </c>
      <c r="N142" s="3" t="n">
        <v>57.8</v>
      </c>
      <c r="O142" s="3" t="n">
        <v>48.9638</v>
      </c>
      <c r="P142" s="3" t="n">
        <v>157.695</v>
      </c>
      <c r="Q142" s="3" t="s">
        <v>428</v>
      </c>
      <c r="R142" s="2"/>
      <c r="S142" s="2"/>
      <c r="T142" s="4" t="n">
        <f aca="false">DATE(VALUE(MID(C142,7,4)),VALUE(MID(C142,4,2)),VALUE(MID(C142,1,2)))+TIME(VALUE(MID(C142,12,2)),VALUE(MID(C142,15,2)),0)</f>
        <v>43915.1173611111</v>
      </c>
      <c r="U142" s="2" t="str">
        <f aca="false">IF(AND(ISNUMBER(VALUE(MID(A142,7,1))),ISNUMBER(SEARCH("km",A142)),ISNUMBER(SEARCH("of",A142))),"Distance-location","Named-region")</f>
        <v>Named-region</v>
      </c>
      <c r="V142" s="2" t="str">
        <f aca="false">LOWER(M142)</f>
        <v>mww</v>
      </c>
      <c r="W142" s="5" t="str">
        <f aca="false">IF(COUNTIFS($A$2:$A$1001,A142,$C$2:$C$1001,C142)&gt;1,"Duplicate","Unique")</f>
        <v>Unique</v>
      </c>
    </row>
    <row r="143" customFormat="false" ht="15" hidden="false" customHeight="false" outlineLevel="0" collapsed="false">
      <c r="A143" s="2" t="s">
        <v>429</v>
      </c>
      <c r="B143" s="3" t="n">
        <v>7</v>
      </c>
      <c r="C143" s="2" t="s">
        <v>430</v>
      </c>
      <c r="D143" s="2" t="n">
        <v>5</v>
      </c>
      <c r="E143" s="2" t="n">
        <v>6</v>
      </c>
      <c r="F143" s="2" t="s">
        <v>32</v>
      </c>
      <c r="G143" s="2" t="n">
        <v>1</v>
      </c>
      <c r="H143" s="2" t="n">
        <v>770</v>
      </c>
      <c r="I143" s="2" t="s">
        <v>26</v>
      </c>
      <c r="J143" s="2" t="n">
        <v>0</v>
      </c>
      <c r="K143" s="2" t="n">
        <v>4.501</v>
      </c>
      <c r="L143" s="2" t="n">
        <v>25</v>
      </c>
      <c r="M143" s="2" t="s">
        <v>27</v>
      </c>
      <c r="N143" s="3" t="n">
        <v>143</v>
      </c>
      <c r="O143" s="3" t="n">
        <v>45.6161</v>
      </c>
      <c r="P143" s="3" t="n">
        <v>148.959</v>
      </c>
      <c r="Q143" s="3" t="s">
        <v>431</v>
      </c>
      <c r="R143" s="2" t="s">
        <v>84</v>
      </c>
      <c r="S143" s="2" t="s">
        <v>432</v>
      </c>
      <c r="T143" s="4" t="n">
        <f aca="false">DATE(VALUE(MID(C143,7,4)),VALUE(MID(C143,4,2)),VALUE(MID(C143,1,2)))+TIME(VALUE(MID(C143,12,2)),VALUE(MID(C143,15,2)),0)</f>
        <v>43874.4395833333</v>
      </c>
      <c r="U143" s="2" t="str">
        <f aca="false">IF(AND(ISNUMBER(VALUE(MID(A143,7,1))),ISNUMBER(SEARCH("km",A143)),ISNUMBER(SEARCH("of",A143))),"Distance-location","Named-region")</f>
        <v>Named-region</v>
      </c>
      <c r="V143" s="2" t="str">
        <f aca="false">LOWER(M143)</f>
        <v>mww</v>
      </c>
      <c r="W143" s="5" t="str">
        <f aca="false">IF(COUNTIFS($A$2:$A$1001,A143,$C$2:$C$1001,C143)&gt;1,"Duplicate","Unique")</f>
        <v>Unique</v>
      </c>
    </row>
    <row r="144" customFormat="false" ht="15" hidden="false" customHeight="false" outlineLevel="0" collapsed="false">
      <c r="A144" s="2" t="s">
        <v>433</v>
      </c>
      <c r="B144" s="3" t="n">
        <v>7.7</v>
      </c>
      <c r="C144" s="2" t="s">
        <v>434</v>
      </c>
      <c r="D144" s="2" t="n">
        <v>9</v>
      </c>
      <c r="E144" s="2" t="n">
        <v>6</v>
      </c>
      <c r="F144" s="2" t="s">
        <v>32</v>
      </c>
      <c r="G144" s="2" t="n">
        <v>1</v>
      </c>
      <c r="H144" s="2" t="n">
        <v>1812</v>
      </c>
      <c r="I144" s="2" t="s">
        <v>26</v>
      </c>
      <c r="J144" s="2" t="n">
        <v>0</v>
      </c>
      <c r="K144" s="2" t="n">
        <v>1.657</v>
      </c>
      <c r="L144" s="2" t="n">
        <v>26</v>
      </c>
      <c r="M144" s="2" t="s">
        <v>27</v>
      </c>
      <c r="N144" s="3" t="n">
        <v>14.86</v>
      </c>
      <c r="O144" s="3" t="n">
        <v>19.4193</v>
      </c>
      <c r="P144" s="3" t="n">
        <v>-78.756</v>
      </c>
      <c r="Q144" s="3" t="s">
        <v>435</v>
      </c>
      <c r="R144" s="2"/>
      <c r="S144" s="2"/>
      <c r="T144" s="4" t="n">
        <f aca="false">DATE(VALUE(MID(C144,7,4)),VALUE(MID(C144,4,2)),VALUE(MID(C144,1,2)))+TIME(VALUE(MID(C144,12,2)),VALUE(MID(C144,15,2)),0)</f>
        <v>43858.7986111111</v>
      </c>
      <c r="U144" s="2" t="str">
        <f aca="false">IF(AND(ISNUMBER(VALUE(MID(A144,7,1))),ISNUMBER(SEARCH("km",A144)),ISNUMBER(SEARCH("of",A144))),"Distance-location","Named-region")</f>
        <v>Named-region</v>
      </c>
      <c r="V144" s="2" t="str">
        <f aca="false">LOWER(M144)</f>
        <v>mww</v>
      </c>
      <c r="W144" s="5" t="str">
        <f aca="false">IF(COUNTIFS($A$2:$A$1001,A144,$C$2:$C$1001,C144)&gt;1,"Duplicate","Unique")</f>
        <v>Unique</v>
      </c>
    </row>
    <row r="145" customFormat="false" ht="15" hidden="false" customHeight="false" outlineLevel="0" collapsed="false">
      <c r="A145" s="2" t="s">
        <v>436</v>
      </c>
      <c r="B145" s="3" t="n">
        <v>6.7</v>
      </c>
      <c r="C145" s="2" t="s">
        <v>437</v>
      </c>
      <c r="D145" s="2" t="n">
        <v>8</v>
      </c>
      <c r="E145" s="2" t="n">
        <v>9</v>
      </c>
      <c r="F145" s="2" t="s">
        <v>99</v>
      </c>
      <c r="G145" s="2" t="n">
        <v>0</v>
      </c>
      <c r="H145" s="2" t="n">
        <v>1247</v>
      </c>
      <c r="I145" s="2" t="s">
        <v>26</v>
      </c>
      <c r="J145" s="2" t="n">
        <v>0</v>
      </c>
      <c r="K145" s="2" t="n">
        <v>0.87</v>
      </c>
      <c r="L145" s="2" t="n">
        <v>49</v>
      </c>
      <c r="M145" s="2" t="s">
        <v>27</v>
      </c>
      <c r="N145" s="3" t="n">
        <v>10</v>
      </c>
      <c r="O145" s="3" t="n">
        <v>38.4312</v>
      </c>
      <c r="P145" s="3" t="n">
        <v>39.0609</v>
      </c>
      <c r="Q145" s="3" t="s">
        <v>438</v>
      </c>
      <c r="R145" s="2" t="s">
        <v>84</v>
      </c>
      <c r="S145" s="2" t="s">
        <v>439</v>
      </c>
      <c r="T145" s="4" t="n">
        <f aca="false">DATE(VALUE(MID(C145,7,4)),VALUE(MID(C145,4,2)),VALUE(MID(C145,1,2)))+TIME(VALUE(MID(C145,12,2)),VALUE(MID(C145,15,2)),0)</f>
        <v>43854.7465277778</v>
      </c>
      <c r="U145" s="2" t="str">
        <f aca="false">IF(AND(ISNUMBER(VALUE(MID(A145,7,1))),ISNUMBER(SEARCH("km",A145)),ISNUMBER(SEARCH("of",A145))),"Distance-location","Named-region")</f>
        <v>Named-region</v>
      </c>
      <c r="V145" s="2" t="str">
        <f aca="false">LOWER(M145)</f>
        <v>mww</v>
      </c>
      <c r="W145" s="5" t="str">
        <f aca="false">IF(COUNTIFS($A$2:$A$1001,A145,$C$2:$C$1001,C145)&gt;1,"Duplicate","Unique")</f>
        <v>Unique</v>
      </c>
    </row>
    <row r="146" customFormat="false" ht="15" hidden="false" customHeight="false" outlineLevel="0" collapsed="false">
      <c r="A146" s="2" t="s">
        <v>440</v>
      </c>
      <c r="B146" s="3" t="n">
        <v>6.8</v>
      </c>
      <c r="C146" s="2" t="s">
        <v>441</v>
      </c>
      <c r="D146" s="2" t="n">
        <v>9</v>
      </c>
      <c r="E146" s="2" t="n">
        <v>7</v>
      </c>
      <c r="F146" s="2" t="s">
        <v>32</v>
      </c>
      <c r="G146" s="2" t="n">
        <v>1</v>
      </c>
      <c r="H146" s="2" t="n">
        <v>825</v>
      </c>
      <c r="I146" s="2" t="s">
        <v>26</v>
      </c>
      <c r="J146" s="2" t="n">
        <v>0</v>
      </c>
      <c r="K146" s="2" t="n">
        <v>0.546</v>
      </c>
      <c r="L146" s="2" t="n">
        <v>39</v>
      </c>
      <c r="M146" s="2" t="s">
        <v>27</v>
      </c>
      <c r="N146" s="3" t="n">
        <v>18</v>
      </c>
      <c r="O146" s="3" t="n">
        <v>6.6969</v>
      </c>
      <c r="P146" s="3" t="n">
        <v>125.174</v>
      </c>
      <c r="Q146" s="3" t="s">
        <v>442</v>
      </c>
      <c r="R146" s="2"/>
      <c r="S146" s="2" t="s">
        <v>195</v>
      </c>
      <c r="T146" s="4" t="n">
        <f aca="false">DATE(VALUE(MID(C146,7,4)),VALUE(MID(C146,4,2)),VALUE(MID(C146,1,2)))+TIME(VALUE(MID(C146,12,2)),VALUE(MID(C146,15,2)),0)</f>
        <v>43814.2576388889</v>
      </c>
      <c r="U146" s="2" t="str">
        <f aca="false">IF(AND(ISNUMBER(VALUE(MID(A146,7,1))),ISNUMBER(SEARCH("km",A146)),ISNUMBER(SEARCH("of",A146))),"Distance-location","Named-region")</f>
        <v>Named-region</v>
      </c>
      <c r="V146" s="2" t="str">
        <f aca="false">LOWER(M146)</f>
        <v>mww</v>
      </c>
      <c r="W146" s="5" t="str">
        <f aca="false">IF(COUNTIFS($A$2:$A$1001,A146,$C$2:$C$1001,C146)&gt;1,"Duplicate","Unique")</f>
        <v>Unique</v>
      </c>
    </row>
    <row r="147" customFormat="false" ht="15" hidden="false" customHeight="false" outlineLevel="0" collapsed="false">
      <c r="A147" s="2" t="s">
        <v>443</v>
      </c>
      <c r="B147" s="3" t="n">
        <v>7.1</v>
      </c>
      <c r="C147" s="2" t="s">
        <v>444</v>
      </c>
      <c r="D147" s="2" t="n">
        <v>6</v>
      </c>
      <c r="E147" s="2" t="n">
        <v>6</v>
      </c>
      <c r="F147" s="2" t="s">
        <v>25</v>
      </c>
      <c r="G147" s="2" t="n">
        <v>1</v>
      </c>
      <c r="H147" s="2" t="n">
        <v>799</v>
      </c>
      <c r="I147" s="2" t="s">
        <v>26</v>
      </c>
      <c r="J147" s="2" t="n">
        <v>0</v>
      </c>
      <c r="K147" s="2" t="n">
        <v>1.271</v>
      </c>
      <c r="L147" s="2" t="n">
        <v>11</v>
      </c>
      <c r="M147" s="2" t="s">
        <v>27</v>
      </c>
      <c r="N147" s="3" t="n">
        <v>33</v>
      </c>
      <c r="O147" s="3" t="n">
        <v>1.6213</v>
      </c>
      <c r="P147" s="3" t="n">
        <v>126.416</v>
      </c>
      <c r="Q147" s="3" t="s">
        <v>445</v>
      </c>
      <c r="R147" s="2"/>
      <c r="S147" s="2" t="s">
        <v>72</v>
      </c>
      <c r="T147" s="4" t="n">
        <f aca="false">DATE(VALUE(MID(C147,7,4)),VALUE(MID(C147,4,2)),VALUE(MID(C147,1,2)))+TIME(VALUE(MID(C147,12,2)),VALUE(MID(C147,15,2)),0)</f>
        <v>43783.6784722222</v>
      </c>
      <c r="U147" s="2" t="str">
        <f aca="false">IF(AND(ISNUMBER(VALUE(MID(A147,7,1))),ISNUMBER(SEARCH("km",A147)),ISNUMBER(SEARCH("of",A147))),"Distance-location","Named-region")</f>
        <v>Named-region</v>
      </c>
      <c r="V147" s="2" t="str">
        <f aca="false">LOWER(M147)</f>
        <v>mww</v>
      </c>
      <c r="W147" s="5" t="str">
        <f aca="false">IF(COUNTIFS($A$2:$A$1001,A147,$C$2:$C$1001,C147)&gt;1,"Duplicate","Unique")</f>
        <v>Unique</v>
      </c>
    </row>
    <row r="148" customFormat="false" ht="15" hidden="false" customHeight="false" outlineLevel="0" collapsed="false">
      <c r="A148" s="2" t="s">
        <v>446</v>
      </c>
      <c r="B148" s="3" t="n">
        <v>6.5</v>
      </c>
      <c r="C148" s="2" t="s">
        <v>447</v>
      </c>
      <c r="D148" s="2" t="n">
        <v>0</v>
      </c>
      <c r="E148" s="2" t="n">
        <v>2</v>
      </c>
      <c r="F148" s="2" t="s">
        <v>25</v>
      </c>
      <c r="G148" s="2" t="n">
        <v>0</v>
      </c>
      <c r="H148" s="2" t="n">
        <v>650</v>
      </c>
      <c r="I148" s="2" t="s">
        <v>26</v>
      </c>
      <c r="J148" s="2" t="n">
        <v>0</v>
      </c>
      <c r="K148" s="2" t="n">
        <v>4.765</v>
      </c>
      <c r="L148" s="2" t="n">
        <v>25</v>
      </c>
      <c r="M148" s="2" t="s">
        <v>27</v>
      </c>
      <c r="N148" s="3" t="n">
        <v>577</v>
      </c>
      <c r="O148" s="3" t="n">
        <v>-21.9449</v>
      </c>
      <c r="P148" s="3" t="n">
        <v>-179.511</v>
      </c>
      <c r="Q148" s="3" t="s">
        <v>448</v>
      </c>
      <c r="R148" s="2"/>
      <c r="S148" s="2"/>
      <c r="T148" s="4" t="n">
        <f aca="false">DATE(VALUE(MID(C148,7,4)),VALUE(MID(C148,4,2)),VALUE(MID(C148,1,2)))+TIME(VALUE(MID(C148,12,2)),VALUE(MID(C148,15,2)),0)</f>
        <v>43777.4472222222</v>
      </c>
      <c r="U148" s="2" t="str">
        <f aca="false">IF(AND(ISNUMBER(VALUE(MID(A148,7,1))),ISNUMBER(SEARCH("km",A148)),ISNUMBER(SEARCH("of",A148))),"Distance-location","Named-region")</f>
        <v>Named-region</v>
      </c>
      <c r="V148" s="2" t="str">
        <f aca="false">LOWER(M148)</f>
        <v>mww</v>
      </c>
      <c r="W148" s="5" t="str">
        <f aca="false">IF(COUNTIFS($A$2:$A$1001,A148,$C$2:$C$1001,C148)&gt;1,"Duplicate","Unique")</f>
        <v>Unique</v>
      </c>
    </row>
    <row r="149" customFormat="false" ht="15" hidden="false" customHeight="false" outlineLevel="0" collapsed="false">
      <c r="A149" s="2" t="s">
        <v>449</v>
      </c>
      <c r="B149" s="3" t="n">
        <v>6.6</v>
      </c>
      <c r="C149" s="2" t="s">
        <v>450</v>
      </c>
      <c r="D149" s="2" t="n">
        <v>4</v>
      </c>
      <c r="E149" s="2" t="n">
        <v>4</v>
      </c>
      <c r="F149" s="2" t="s">
        <v>25</v>
      </c>
      <c r="G149" s="2" t="n">
        <v>1</v>
      </c>
      <c r="H149" s="2" t="n">
        <v>673</v>
      </c>
      <c r="I149" s="2" t="s">
        <v>26</v>
      </c>
      <c r="J149" s="2" t="n">
        <v>0</v>
      </c>
      <c r="K149" s="2" t="n">
        <v>5.086</v>
      </c>
      <c r="L149" s="2" t="n">
        <v>48</v>
      </c>
      <c r="M149" s="2" t="s">
        <v>27</v>
      </c>
      <c r="N149" s="3" t="n">
        <v>10</v>
      </c>
      <c r="O149" s="3" t="n">
        <v>-18.5747</v>
      </c>
      <c r="P149" s="3" t="n">
        <v>-175.272</v>
      </c>
      <c r="Q149" s="3" t="s">
        <v>153</v>
      </c>
      <c r="R149" s="2"/>
      <c r="S149" s="2"/>
      <c r="T149" s="4" t="n">
        <f aca="false">DATE(VALUE(MID(C149,7,4)),VALUE(MID(C149,4,2)),VALUE(MID(C149,1,2)))+TIME(VALUE(MID(C149,12,2)),VALUE(MID(C149,15,2)),0)</f>
        <v>43773.9465277778</v>
      </c>
      <c r="U149" s="2" t="str">
        <f aca="false">IF(AND(ISNUMBER(VALUE(MID(A149,7,1))),ISNUMBER(SEARCH("km",A149)),ISNUMBER(SEARCH("of",A149))),"Distance-location","Named-region")</f>
        <v>Named-region</v>
      </c>
      <c r="V149" s="2" t="str">
        <f aca="false">LOWER(M149)</f>
        <v>mww</v>
      </c>
      <c r="W149" s="5" t="str">
        <f aca="false">IF(COUNTIFS($A$2:$A$1001,A149,$C$2:$C$1001,C149)&gt;1,"Duplicate","Unique")</f>
        <v>Unique</v>
      </c>
    </row>
    <row r="150" customFormat="false" ht="15" hidden="false" customHeight="false" outlineLevel="0" collapsed="false">
      <c r="A150" s="2" t="s">
        <v>451</v>
      </c>
      <c r="B150" s="3" t="n">
        <v>6.5</v>
      </c>
      <c r="C150" s="2" t="s">
        <v>452</v>
      </c>
      <c r="D150" s="2" t="n">
        <v>9</v>
      </c>
      <c r="E150" s="2" t="n">
        <v>7</v>
      </c>
      <c r="F150" s="2" t="s">
        <v>25</v>
      </c>
      <c r="G150" s="2" t="n">
        <v>1</v>
      </c>
      <c r="H150" s="2" t="n">
        <v>733</v>
      </c>
      <c r="I150" s="2" t="s">
        <v>26</v>
      </c>
      <c r="J150" s="2" t="n">
        <v>0</v>
      </c>
      <c r="K150" s="2" t="n">
        <v>0.428</v>
      </c>
      <c r="L150" s="2" t="n">
        <v>19</v>
      </c>
      <c r="M150" s="2" t="s">
        <v>27</v>
      </c>
      <c r="N150" s="3" t="n">
        <v>10</v>
      </c>
      <c r="O150" s="3" t="n">
        <v>6.9098</v>
      </c>
      <c r="P150" s="3" t="n">
        <v>125.178</v>
      </c>
      <c r="Q150" s="3" t="s">
        <v>453</v>
      </c>
      <c r="R150" s="2"/>
      <c r="S150" s="2" t="s">
        <v>195</v>
      </c>
      <c r="T150" s="4" t="n">
        <f aca="false">DATE(VALUE(MID(C150,7,4)),VALUE(MID(C150,4,2)),VALUE(MID(C150,1,2)))+TIME(VALUE(MID(C150,12,2)),VALUE(MID(C150,15,2)),0)</f>
        <v>43769.0493055556</v>
      </c>
      <c r="U150" s="2" t="str">
        <f aca="false">IF(AND(ISNUMBER(VALUE(MID(A150,7,1))),ISNUMBER(SEARCH("km",A150)),ISNUMBER(SEARCH("of",A150))),"Distance-location","Named-region")</f>
        <v>Named-region</v>
      </c>
      <c r="V150" s="2" t="str">
        <f aca="false">LOWER(M150)</f>
        <v>mww</v>
      </c>
      <c r="W150" s="5" t="str">
        <f aca="false">IF(COUNTIFS($A$2:$A$1001,A150,$C$2:$C$1001,C150)&gt;1,"Duplicate","Unique")</f>
        <v>Unique</v>
      </c>
    </row>
    <row r="151" customFormat="false" ht="15" hidden="false" customHeight="false" outlineLevel="0" collapsed="false">
      <c r="A151" s="2" t="s">
        <v>454</v>
      </c>
      <c r="B151" s="3" t="n">
        <v>6.6</v>
      </c>
      <c r="C151" s="2" t="s">
        <v>455</v>
      </c>
      <c r="D151" s="2" t="n">
        <v>9</v>
      </c>
      <c r="E151" s="2" t="n">
        <v>7</v>
      </c>
      <c r="F151" s="2" t="s">
        <v>32</v>
      </c>
      <c r="G151" s="2" t="n">
        <v>1</v>
      </c>
      <c r="H151" s="2" t="n">
        <v>780</v>
      </c>
      <c r="I151" s="2" t="s">
        <v>26</v>
      </c>
      <c r="J151" s="2" t="n">
        <v>0</v>
      </c>
      <c r="K151" s="2" t="n">
        <v>0.646</v>
      </c>
      <c r="L151" s="2" t="n">
        <v>24</v>
      </c>
      <c r="M151" s="2" t="s">
        <v>27</v>
      </c>
      <c r="N151" s="3" t="n">
        <v>15</v>
      </c>
      <c r="O151" s="3" t="n">
        <v>6.7567</v>
      </c>
      <c r="P151" s="3" t="n">
        <v>125.008</v>
      </c>
      <c r="Q151" s="3" t="s">
        <v>456</v>
      </c>
      <c r="R151" s="2"/>
      <c r="S151" s="2" t="s">
        <v>195</v>
      </c>
      <c r="T151" s="4" t="n">
        <f aca="false">DATE(VALUE(MID(C151,7,4)),VALUE(MID(C151,4,2)),VALUE(MID(C151,1,2)))+TIME(VALUE(MID(C151,12,2)),VALUE(MID(C151,15,2)),0)</f>
        <v>43767.0444444444</v>
      </c>
      <c r="U151" s="2" t="str">
        <f aca="false">IF(AND(ISNUMBER(VALUE(MID(A151,7,1))),ISNUMBER(SEARCH("km",A151)),ISNUMBER(SEARCH("of",A151))),"Distance-location","Named-region")</f>
        <v>Named-region</v>
      </c>
      <c r="V151" s="2" t="str">
        <f aca="false">LOWER(M151)</f>
        <v>mww</v>
      </c>
      <c r="W151" s="5" t="str">
        <f aca="false">IF(COUNTIFS($A$2:$A$1001,A151,$C$2:$C$1001,C151)&gt;1,"Duplicate","Unique")</f>
        <v>Unique</v>
      </c>
    </row>
    <row r="152" customFormat="false" ht="15" hidden="false" customHeight="false" outlineLevel="0" collapsed="false">
      <c r="A152" s="2" t="s">
        <v>457</v>
      </c>
      <c r="B152" s="3" t="n">
        <v>6.7</v>
      </c>
      <c r="C152" s="2" t="s">
        <v>458</v>
      </c>
      <c r="D152" s="2" t="n">
        <v>7</v>
      </c>
      <c r="E152" s="2" t="n">
        <v>6</v>
      </c>
      <c r="F152" s="2" t="s">
        <v>25</v>
      </c>
      <c r="G152" s="2" t="n">
        <v>1</v>
      </c>
      <c r="H152" s="2" t="n">
        <v>844</v>
      </c>
      <c r="I152" s="2" t="s">
        <v>26</v>
      </c>
      <c r="J152" s="2" t="n">
        <v>0</v>
      </c>
      <c r="K152" s="2" t="n">
        <v>1.269</v>
      </c>
      <c r="L152" s="2" t="n">
        <v>98</v>
      </c>
      <c r="M152" s="2" t="s">
        <v>27</v>
      </c>
      <c r="N152" s="3" t="n">
        <v>11</v>
      </c>
      <c r="O152" s="3" t="n">
        <v>-35.4758</v>
      </c>
      <c r="P152" s="3" t="n">
        <v>-73.163</v>
      </c>
      <c r="Q152" s="3" t="s">
        <v>459</v>
      </c>
      <c r="R152" s="2"/>
      <c r="S152" s="2"/>
      <c r="T152" s="4" t="n">
        <f aca="false">DATE(VALUE(MID(C152,7,4)),VALUE(MID(C152,4,2)),VALUE(MID(C152,1,2)))+TIME(VALUE(MID(C152,12,2)),VALUE(MID(C152,15,2)),0)</f>
        <v>43737.6645833333</v>
      </c>
      <c r="U152" s="2" t="str">
        <f aca="false">IF(AND(ISNUMBER(VALUE(MID(A152,7,1))),ISNUMBER(SEARCH("km",A152)),ISNUMBER(SEARCH("of",A152))),"Distance-location","Named-region")</f>
        <v>Named-region</v>
      </c>
      <c r="V152" s="2" t="str">
        <f aca="false">LOWER(M152)</f>
        <v>mww</v>
      </c>
      <c r="W152" s="5" t="str">
        <f aca="false">IF(COUNTIFS($A$2:$A$1001,A152,$C$2:$C$1001,C152)&gt;1,"Duplicate","Unique")</f>
        <v>Unique</v>
      </c>
    </row>
    <row r="153" customFormat="false" ht="15" hidden="false" customHeight="false" outlineLevel="0" collapsed="false">
      <c r="A153" s="2" t="s">
        <v>460</v>
      </c>
      <c r="B153" s="3" t="n">
        <v>6.5</v>
      </c>
      <c r="C153" s="2" t="s">
        <v>461</v>
      </c>
      <c r="D153" s="2" t="n">
        <v>7</v>
      </c>
      <c r="E153" s="2" t="n">
        <v>7</v>
      </c>
      <c r="F153" s="2" t="s">
        <v>32</v>
      </c>
      <c r="G153" s="2" t="n">
        <v>1</v>
      </c>
      <c r="H153" s="2" t="n">
        <v>656</v>
      </c>
      <c r="I153" s="2" t="s">
        <v>26</v>
      </c>
      <c r="J153" s="2" t="n">
        <v>0</v>
      </c>
      <c r="K153" s="2" t="n">
        <v>3.909</v>
      </c>
      <c r="L153" s="2" t="n">
        <v>15</v>
      </c>
      <c r="M153" s="2" t="s">
        <v>27</v>
      </c>
      <c r="N153" s="3" t="n">
        <v>12.26</v>
      </c>
      <c r="O153" s="3" t="n">
        <v>-3.4528</v>
      </c>
      <c r="P153" s="3" t="n">
        <v>128.37</v>
      </c>
      <c r="Q153" s="3" t="s">
        <v>462</v>
      </c>
      <c r="R153" s="2"/>
      <c r="S153" s="2" t="s">
        <v>72</v>
      </c>
      <c r="T153" s="4" t="n">
        <f aca="false">DATE(VALUE(MID(C153,7,4)),VALUE(MID(C153,4,2)),VALUE(MID(C153,1,2)))+TIME(VALUE(MID(C153,12,2)),VALUE(MID(C153,15,2)),0)</f>
        <v>43733.9902777778</v>
      </c>
      <c r="U153" s="2" t="str">
        <f aca="false">IF(AND(ISNUMBER(VALUE(MID(A153,7,1))),ISNUMBER(SEARCH("km",A153)),ISNUMBER(SEARCH("of",A153))),"Distance-location","Named-region")</f>
        <v>Named-region</v>
      </c>
      <c r="V153" s="2" t="str">
        <f aca="false">LOWER(M153)</f>
        <v>mww</v>
      </c>
      <c r="W153" s="5" t="str">
        <f aca="false">IF(COUNTIFS($A$2:$A$1001,A153,$C$2:$C$1001,C153)&gt;1,"Duplicate","Unique")</f>
        <v>Unique</v>
      </c>
    </row>
    <row r="154" customFormat="false" ht="15" hidden="false" customHeight="false" outlineLevel="0" collapsed="false">
      <c r="A154" s="2" t="s">
        <v>463</v>
      </c>
      <c r="B154" s="3" t="n">
        <v>6.6</v>
      </c>
      <c r="C154" s="2" t="s">
        <v>464</v>
      </c>
      <c r="D154" s="2" t="n">
        <v>2</v>
      </c>
      <c r="E154" s="2" t="n">
        <v>3</v>
      </c>
      <c r="F154" s="2"/>
      <c r="G154" s="2" t="n">
        <v>1</v>
      </c>
      <c r="H154" s="2" t="n">
        <v>671</v>
      </c>
      <c r="I154" s="2" t="s">
        <v>26</v>
      </c>
      <c r="J154" s="2" t="n">
        <v>0</v>
      </c>
      <c r="K154" s="2" t="n">
        <v>4.121</v>
      </c>
      <c r="L154" s="2" t="n">
        <v>19</v>
      </c>
      <c r="M154" s="2" t="s">
        <v>27</v>
      </c>
      <c r="N154" s="3" t="n">
        <v>591</v>
      </c>
      <c r="O154" s="3" t="n">
        <v>-20.3641</v>
      </c>
      <c r="P154" s="3" t="n">
        <v>-178.57</v>
      </c>
      <c r="Q154" s="3" t="s">
        <v>448</v>
      </c>
      <c r="R154" s="2"/>
      <c r="S154" s="2" t="s">
        <v>150</v>
      </c>
      <c r="T154" s="4" t="n">
        <f aca="false">DATE(VALUE(MID(C154,7,4)),VALUE(MID(C154,4,2)),VALUE(MID(C154,1,2)))+TIME(VALUE(MID(C154,12,2)),VALUE(MID(C154,15,2)),0)</f>
        <v>43709.6625</v>
      </c>
      <c r="U154" s="2" t="str">
        <f aca="false">IF(AND(ISNUMBER(VALUE(MID(A154,7,1))),ISNUMBER(SEARCH("km",A154)),ISNUMBER(SEARCH("of",A154))),"Distance-location","Named-region")</f>
        <v>Named-region</v>
      </c>
      <c r="V154" s="2" t="str">
        <f aca="false">LOWER(M154)</f>
        <v>mww</v>
      </c>
      <c r="W154" s="5" t="str">
        <f aca="false">IF(COUNTIFS($A$2:$A$1001,A154,$C$2:$C$1001,C154)&gt;1,"Duplicate","Unique")</f>
        <v>Unique</v>
      </c>
    </row>
    <row r="155" customFormat="false" ht="28.35" hidden="false" customHeight="false" outlineLevel="0" collapsed="false">
      <c r="A155" s="2" t="s">
        <v>465</v>
      </c>
      <c r="B155" s="3" t="n">
        <v>6.6</v>
      </c>
      <c r="C155" s="2" t="s">
        <v>466</v>
      </c>
      <c r="D155" s="2" t="n">
        <v>0</v>
      </c>
      <c r="E155" s="2" t="n">
        <v>4</v>
      </c>
      <c r="F155" s="2" t="s">
        <v>25</v>
      </c>
      <c r="G155" s="2" t="n">
        <v>1</v>
      </c>
      <c r="H155" s="2" t="n">
        <v>670</v>
      </c>
      <c r="I155" s="2" t="s">
        <v>26</v>
      </c>
      <c r="J155" s="2" t="n">
        <v>0</v>
      </c>
      <c r="K155" s="2" t="n">
        <v>12.896</v>
      </c>
      <c r="L155" s="2" t="n">
        <v>19</v>
      </c>
      <c r="M155" s="2" t="s">
        <v>27</v>
      </c>
      <c r="N155" s="3" t="n">
        <v>16</v>
      </c>
      <c r="O155" s="3" t="n">
        <v>-60.2152</v>
      </c>
      <c r="P155" s="3" t="n">
        <v>-26.5801</v>
      </c>
      <c r="Q155" s="3" t="s">
        <v>467</v>
      </c>
      <c r="R155" s="2"/>
      <c r="S155" s="2" t="s">
        <v>468</v>
      </c>
      <c r="T155" s="4" t="n">
        <f aca="false">DATE(VALUE(MID(C155,7,4)),VALUE(MID(C155,4,2)),VALUE(MID(C155,1,2)))+TIME(VALUE(MID(C155,12,2)),VALUE(MID(C155,15,2)),0)</f>
        <v>43704.9965277778</v>
      </c>
      <c r="U155" s="2" t="str">
        <f aca="false">IF(AND(ISNUMBER(VALUE(MID(A155,7,1))),ISNUMBER(SEARCH("km",A155)),ISNUMBER(SEARCH("of",A155))),"Distance-location","Named-region")</f>
        <v>Named-region</v>
      </c>
      <c r="V155" s="2" t="str">
        <f aca="false">LOWER(M155)</f>
        <v>mww</v>
      </c>
      <c r="W155" s="5" t="str">
        <f aca="false">IF(COUNTIFS($A$2:$A$1001,A155,$C$2:$C$1001,C155)&gt;1,"Duplicate","Unique")</f>
        <v>Unique</v>
      </c>
    </row>
    <row r="156" customFormat="false" ht="15" hidden="false" customHeight="false" outlineLevel="0" collapsed="false">
      <c r="A156" s="2" t="s">
        <v>469</v>
      </c>
      <c r="B156" s="3" t="n">
        <v>6.9</v>
      </c>
      <c r="C156" s="2" t="s">
        <v>470</v>
      </c>
      <c r="D156" s="2" t="n">
        <v>4</v>
      </c>
      <c r="E156" s="2" t="n">
        <v>6</v>
      </c>
      <c r="F156" s="2" t="s">
        <v>25</v>
      </c>
      <c r="G156" s="2" t="n">
        <v>0</v>
      </c>
      <c r="H156" s="2" t="n">
        <v>875</v>
      </c>
      <c r="I156" s="2" t="s">
        <v>26</v>
      </c>
      <c r="J156" s="2" t="n">
        <v>0</v>
      </c>
      <c r="K156" s="2" t="n">
        <v>2.839</v>
      </c>
      <c r="L156" s="2" t="n">
        <v>23</v>
      </c>
      <c r="M156" s="2" t="s">
        <v>27</v>
      </c>
      <c r="N156" s="3" t="n">
        <v>49</v>
      </c>
      <c r="O156" s="3" t="n">
        <v>-7.2822</v>
      </c>
      <c r="P156" s="3" t="n">
        <v>104.791</v>
      </c>
      <c r="Q156" s="3" t="s">
        <v>235</v>
      </c>
      <c r="R156" s="2"/>
      <c r="S156" s="2"/>
      <c r="T156" s="4" t="n">
        <f aca="false">DATE(VALUE(MID(C156,7,4)),VALUE(MID(C156,4,2)),VALUE(MID(C156,1,2)))+TIME(VALUE(MID(C156,12,2)),VALUE(MID(C156,15,2)),0)</f>
        <v>43679.5020833333</v>
      </c>
      <c r="U156" s="2" t="str">
        <f aca="false">IF(AND(ISNUMBER(VALUE(MID(A156,7,1))),ISNUMBER(SEARCH("km",A156)),ISNUMBER(SEARCH("of",A156))),"Distance-location","Named-region")</f>
        <v>Named-region</v>
      </c>
      <c r="V156" s="2" t="str">
        <f aca="false">LOWER(M156)</f>
        <v>mww</v>
      </c>
      <c r="W156" s="5" t="str">
        <f aca="false">IF(COUNTIFS($A$2:$A$1001,A156,$C$2:$C$1001,C156)&gt;1,"Duplicate","Unique")</f>
        <v>Unique</v>
      </c>
    </row>
    <row r="157" customFormat="false" ht="15" hidden="false" customHeight="false" outlineLevel="0" collapsed="false">
      <c r="A157" s="2" t="s">
        <v>471</v>
      </c>
      <c r="B157" s="3" t="n">
        <v>6.8</v>
      </c>
      <c r="C157" s="2" t="s">
        <v>472</v>
      </c>
      <c r="D157" s="2" t="n">
        <v>6</v>
      </c>
      <c r="E157" s="2" t="n">
        <v>6</v>
      </c>
      <c r="F157" s="2" t="s">
        <v>25</v>
      </c>
      <c r="G157" s="2" t="n">
        <v>1</v>
      </c>
      <c r="H157" s="2" t="n">
        <v>947</v>
      </c>
      <c r="I157" s="2" t="s">
        <v>26</v>
      </c>
      <c r="J157" s="2" t="n">
        <v>0</v>
      </c>
      <c r="K157" s="2" t="n">
        <v>0.817</v>
      </c>
      <c r="L157" s="2" t="n">
        <v>35</v>
      </c>
      <c r="M157" s="2" t="s">
        <v>27</v>
      </c>
      <c r="N157" s="3" t="n">
        <v>25</v>
      </c>
      <c r="O157" s="3" t="n">
        <v>-34.2364</v>
      </c>
      <c r="P157" s="3" t="n">
        <v>-72.3102</v>
      </c>
      <c r="Q157" s="3" t="s">
        <v>473</v>
      </c>
      <c r="R157" s="2"/>
      <c r="S157" s="2"/>
      <c r="T157" s="4" t="n">
        <f aca="false">DATE(VALUE(MID(C157,7,4)),VALUE(MID(C157,4,2)),VALUE(MID(C157,1,2)))+TIME(VALUE(MID(C157,12,2)),VALUE(MID(C157,15,2)),0)</f>
        <v>43678.7694444444</v>
      </c>
      <c r="U157" s="2" t="str">
        <f aca="false">IF(AND(ISNUMBER(VALUE(MID(A157,7,1))),ISNUMBER(SEARCH("km",A157)),ISNUMBER(SEARCH("of",A157))),"Distance-location","Named-region")</f>
        <v>Named-region</v>
      </c>
      <c r="V157" s="2" t="str">
        <f aca="false">LOWER(M157)</f>
        <v>mww</v>
      </c>
      <c r="W157" s="5" t="str">
        <f aca="false">IF(COUNTIFS($A$2:$A$1001,A157,$C$2:$C$1001,C157)&gt;1,"Duplicate","Unique")</f>
        <v>Unique</v>
      </c>
    </row>
    <row r="158" customFormat="false" ht="15" hidden="false" customHeight="false" outlineLevel="0" collapsed="false">
      <c r="A158" s="2" t="s">
        <v>474</v>
      </c>
      <c r="B158" s="3" t="n">
        <v>6.6</v>
      </c>
      <c r="C158" s="2" t="s">
        <v>475</v>
      </c>
      <c r="D158" s="2" t="n">
        <v>0</v>
      </c>
      <c r="E158" s="2" t="n">
        <v>4</v>
      </c>
      <c r="F158" s="2" t="s">
        <v>25</v>
      </c>
      <c r="G158" s="2" t="n">
        <v>1</v>
      </c>
      <c r="H158" s="2" t="n">
        <v>670</v>
      </c>
      <c r="I158" s="2" t="s">
        <v>26</v>
      </c>
      <c r="J158" s="2" t="n">
        <v>0</v>
      </c>
      <c r="K158" s="2" t="n">
        <v>6.024</v>
      </c>
      <c r="L158" s="2" t="n">
        <v>30</v>
      </c>
      <c r="M158" s="2" t="s">
        <v>27</v>
      </c>
      <c r="N158" s="3" t="n">
        <v>181</v>
      </c>
      <c r="O158" s="3" t="n">
        <v>-16.1985</v>
      </c>
      <c r="P158" s="3" t="n">
        <v>167.998</v>
      </c>
      <c r="Q158" s="3" t="s">
        <v>476</v>
      </c>
      <c r="R158" s="2"/>
      <c r="S158" s="2" t="s">
        <v>29</v>
      </c>
      <c r="T158" s="4" t="n">
        <f aca="false">DATE(VALUE(MID(C158,7,4)),VALUE(MID(C158,4,2)),VALUE(MID(C158,1,2)))+TIME(VALUE(MID(C158,12,2)),VALUE(MID(C158,15,2)),0)</f>
        <v>43677.6263888889</v>
      </c>
      <c r="U158" s="2" t="str">
        <f aca="false">IF(AND(ISNUMBER(VALUE(MID(A158,7,1))),ISNUMBER(SEARCH("km",A158)),ISNUMBER(SEARCH("of",A158))),"Distance-location","Named-region")</f>
        <v>Named-region</v>
      </c>
      <c r="V158" s="2" t="str">
        <f aca="false">LOWER(M158)</f>
        <v>mww</v>
      </c>
      <c r="W158" s="5" t="str">
        <f aca="false">IF(COUNTIFS($A$2:$A$1001,A158,$C$2:$C$1001,C158)&gt;1,"Duplicate","Unique")</f>
        <v>Unique</v>
      </c>
    </row>
    <row r="159" customFormat="false" ht="15" hidden="false" customHeight="false" outlineLevel="0" collapsed="false">
      <c r="A159" s="2" t="s">
        <v>477</v>
      </c>
      <c r="B159" s="3" t="n">
        <v>7.2</v>
      </c>
      <c r="C159" s="2" t="s">
        <v>478</v>
      </c>
      <c r="D159" s="2" t="n">
        <v>7</v>
      </c>
      <c r="E159" s="2" t="n">
        <v>7</v>
      </c>
      <c r="F159" s="2" t="s">
        <v>25</v>
      </c>
      <c r="G159" s="2" t="n">
        <v>1</v>
      </c>
      <c r="H159" s="2" t="n">
        <v>809</v>
      </c>
      <c r="I159" s="2" t="s">
        <v>26</v>
      </c>
      <c r="J159" s="2" t="n">
        <v>0</v>
      </c>
      <c r="K159" s="2" t="n">
        <v>1.504</v>
      </c>
      <c r="L159" s="2" t="n">
        <v>38</v>
      </c>
      <c r="M159" s="2" t="s">
        <v>27</v>
      </c>
      <c r="N159" s="3" t="n">
        <v>18.98</v>
      </c>
      <c r="O159" s="3" t="n">
        <v>-0.5858</v>
      </c>
      <c r="P159" s="3" t="n">
        <v>128.034</v>
      </c>
      <c r="Q159" s="3" t="s">
        <v>479</v>
      </c>
      <c r="R159" s="2"/>
      <c r="S159" s="2" t="s">
        <v>72</v>
      </c>
      <c r="T159" s="4" t="n">
        <f aca="false">DATE(VALUE(MID(C159,7,4)),VALUE(MID(C159,4,2)),VALUE(MID(C159,1,2)))+TIME(VALUE(MID(C159,12,2)),VALUE(MID(C159,15,2)),0)</f>
        <v>43660.3819444444</v>
      </c>
      <c r="U159" s="2" t="str">
        <f aca="false">IF(AND(ISNUMBER(VALUE(MID(A159,7,1))),ISNUMBER(SEARCH("km",A159)),ISNUMBER(SEARCH("of",A159))),"Distance-location","Named-region")</f>
        <v>Named-region</v>
      </c>
      <c r="V159" s="2" t="str">
        <f aca="false">LOWER(M159)</f>
        <v>mww</v>
      </c>
      <c r="W159" s="5" t="str">
        <f aca="false">IF(COUNTIFS($A$2:$A$1001,A159,$C$2:$C$1001,C159)&gt;1,"Duplicate","Unique")</f>
        <v>Unique</v>
      </c>
    </row>
    <row r="160" customFormat="false" ht="15" hidden="false" customHeight="false" outlineLevel="0" collapsed="false">
      <c r="A160" s="2" t="s">
        <v>480</v>
      </c>
      <c r="B160" s="3" t="n">
        <v>6.6</v>
      </c>
      <c r="C160" s="2" t="s">
        <v>481</v>
      </c>
      <c r="D160" s="2" t="n">
        <v>5</v>
      </c>
      <c r="E160" s="2" t="n">
        <v>5</v>
      </c>
      <c r="F160" s="2" t="s">
        <v>25</v>
      </c>
      <c r="G160" s="2" t="n">
        <v>0</v>
      </c>
      <c r="H160" s="2" t="n">
        <v>791</v>
      </c>
      <c r="I160" s="2" t="s">
        <v>26</v>
      </c>
      <c r="J160" s="2" t="n">
        <v>0</v>
      </c>
      <c r="K160" s="2" t="n">
        <v>2.978</v>
      </c>
      <c r="L160" s="2" t="n">
        <v>32</v>
      </c>
      <c r="M160" s="2" t="s">
        <v>27</v>
      </c>
      <c r="N160" s="3" t="n">
        <v>10</v>
      </c>
      <c r="O160" s="3" t="n">
        <v>-18.2242</v>
      </c>
      <c r="P160" s="3" t="n">
        <v>120.358</v>
      </c>
      <c r="Q160" s="3" t="s">
        <v>482</v>
      </c>
      <c r="R160" s="2"/>
      <c r="S160" s="2"/>
      <c r="T160" s="4" t="n">
        <f aca="false">DATE(VALUE(MID(C160,7,4)),VALUE(MID(C160,4,2)),VALUE(MID(C160,1,2)))+TIME(VALUE(MID(C160,12,2)),VALUE(MID(C160,15,2)),0)</f>
        <v>43660.2354166667</v>
      </c>
      <c r="U160" s="2" t="str">
        <f aca="false">IF(AND(ISNUMBER(VALUE(MID(A160,7,1))),ISNUMBER(SEARCH("km",A160)),ISNUMBER(SEARCH("of",A160))),"Distance-location","Named-region")</f>
        <v>Named-region</v>
      </c>
      <c r="V160" s="2" t="str">
        <f aca="false">LOWER(M160)</f>
        <v>mww</v>
      </c>
      <c r="W160" s="5" t="str">
        <f aca="false">IF(COUNTIFS($A$2:$A$1001,A160,$C$2:$C$1001,C160)&gt;1,"Duplicate","Unique")</f>
        <v>Unique</v>
      </c>
    </row>
    <row r="161" customFormat="false" ht="15" hidden="false" customHeight="false" outlineLevel="0" collapsed="false">
      <c r="A161" s="2" t="s">
        <v>483</v>
      </c>
      <c r="B161" s="3" t="n">
        <v>6.9</v>
      </c>
      <c r="C161" s="2" t="s">
        <v>484</v>
      </c>
      <c r="D161" s="2" t="n">
        <v>7</v>
      </c>
      <c r="E161" s="2" t="n">
        <v>5</v>
      </c>
      <c r="F161" s="2" t="s">
        <v>25</v>
      </c>
      <c r="G161" s="2" t="n">
        <v>0</v>
      </c>
      <c r="H161" s="2" t="n">
        <v>747</v>
      </c>
      <c r="I161" s="2" t="s">
        <v>26</v>
      </c>
      <c r="J161" s="2" t="n">
        <v>0</v>
      </c>
      <c r="K161" s="2" t="n">
        <v>1.205</v>
      </c>
      <c r="L161" s="2" t="n">
        <v>21</v>
      </c>
      <c r="M161" s="2" t="s">
        <v>27</v>
      </c>
      <c r="N161" s="3" t="n">
        <v>35</v>
      </c>
      <c r="O161" s="3" t="n">
        <v>0.5126</v>
      </c>
      <c r="P161" s="3" t="n">
        <v>126.189</v>
      </c>
      <c r="Q161" s="3" t="s">
        <v>485</v>
      </c>
      <c r="R161" s="2"/>
      <c r="S161" s="2" t="s">
        <v>72</v>
      </c>
      <c r="T161" s="4" t="n">
        <f aca="false">DATE(VALUE(MID(C161,7,4)),VALUE(MID(C161,4,2)),VALUE(MID(C161,1,2)))+TIME(VALUE(MID(C161,12,2)),VALUE(MID(C161,15,2)),0)</f>
        <v>43653.6305555556</v>
      </c>
      <c r="U161" s="2" t="str">
        <f aca="false">IF(AND(ISNUMBER(VALUE(MID(A161,7,1))),ISNUMBER(SEARCH("km",A161)),ISNUMBER(SEARCH("of",A161))),"Distance-location","Named-region")</f>
        <v>Named-region</v>
      </c>
      <c r="V161" s="2" t="str">
        <f aca="false">LOWER(M161)</f>
        <v>mww</v>
      </c>
      <c r="W161" s="5" t="str">
        <f aca="false">IF(COUNTIFS($A$2:$A$1001,A161,$C$2:$C$1001,C161)&gt;1,"Duplicate","Unique")</f>
        <v>Unique</v>
      </c>
    </row>
    <row r="162" customFormat="false" ht="15" hidden="false" customHeight="false" outlineLevel="0" collapsed="false">
      <c r="A162" s="2" t="s">
        <v>486</v>
      </c>
      <c r="B162" s="3" t="n">
        <v>7.1</v>
      </c>
      <c r="C162" s="2" t="s">
        <v>487</v>
      </c>
      <c r="D162" s="2" t="n">
        <v>9</v>
      </c>
      <c r="E162" s="2" t="n">
        <v>9</v>
      </c>
      <c r="F162" s="2" t="s">
        <v>32</v>
      </c>
      <c r="G162" s="2" t="n">
        <v>0</v>
      </c>
      <c r="H162" s="2" t="n">
        <v>1646</v>
      </c>
      <c r="I162" s="2" t="s">
        <v>488</v>
      </c>
      <c r="J162" s="2" t="n">
        <v>77</v>
      </c>
      <c r="K162" s="2" t="n">
        <v>0.04616</v>
      </c>
      <c r="L162" s="2" t="n">
        <v>43</v>
      </c>
      <c r="M162" s="2" t="s">
        <v>489</v>
      </c>
      <c r="N162" s="3" t="n">
        <v>8</v>
      </c>
      <c r="O162" s="3" t="n">
        <v>35.7695</v>
      </c>
      <c r="P162" s="3" t="n">
        <v>-117.599</v>
      </c>
      <c r="Q162" s="3" t="s">
        <v>490</v>
      </c>
      <c r="R162" s="2" t="s">
        <v>168</v>
      </c>
      <c r="S162" s="2" t="s">
        <v>265</v>
      </c>
      <c r="T162" s="4" t="n">
        <f aca="false">DATE(VALUE(MID(C162,7,4)),VALUE(MID(C162,4,2)),VALUE(MID(C162,1,2)))+TIME(VALUE(MID(C162,12,2)),VALUE(MID(C162,15,2)),0)</f>
        <v>43652.1381944444</v>
      </c>
      <c r="U162" s="2" t="str">
        <f aca="false">IF(AND(ISNUMBER(VALUE(MID(A162,7,1))),ISNUMBER(SEARCH("km",A162)),ISNUMBER(SEARCH("of",A162))),"Distance-location","Named-region")</f>
        <v>Named-region</v>
      </c>
      <c r="V162" s="2" t="str">
        <f aca="false">LOWER(M162)</f>
        <v>mw</v>
      </c>
      <c r="W162" s="5" t="str">
        <f aca="false">IF(COUNTIFS($A$2:$A$1001,A162,$C$2:$C$1001,C162)&gt;1,"Duplicate","Unique")</f>
        <v>Unique</v>
      </c>
    </row>
    <row r="163" customFormat="false" ht="15" hidden="false" customHeight="false" outlineLevel="0" collapsed="false">
      <c r="A163" s="2" t="s">
        <v>491</v>
      </c>
      <c r="B163" s="3" t="n">
        <v>7.3</v>
      </c>
      <c r="C163" s="2" t="s">
        <v>492</v>
      </c>
      <c r="D163" s="2" t="n">
        <v>4</v>
      </c>
      <c r="E163" s="2" t="n">
        <v>6</v>
      </c>
      <c r="F163" s="2" t="s">
        <v>25</v>
      </c>
      <c r="G163" s="2" t="n">
        <v>1</v>
      </c>
      <c r="H163" s="2" t="n">
        <v>952</v>
      </c>
      <c r="I163" s="2" t="s">
        <v>26</v>
      </c>
      <c r="J163" s="2" t="n">
        <v>0</v>
      </c>
      <c r="K163" s="2" t="n">
        <v>2.629</v>
      </c>
      <c r="L163" s="2" t="n">
        <v>16</v>
      </c>
      <c r="M163" s="2" t="s">
        <v>27</v>
      </c>
      <c r="N163" s="3" t="n">
        <v>212</v>
      </c>
      <c r="O163" s="3" t="n">
        <v>-6.4078</v>
      </c>
      <c r="P163" s="3" t="n">
        <v>129.169</v>
      </c>
      <c r="Q163" s="3" t="s">
        <v>493</v>
      </c>
      <c r="R163" s="2"/>
      <c r="S163" s="2" t="s">
        <v>72</v>
      </c>
      <c r="T163" s="4" t="n">
        <f aca="false">DATE(VALUE(MID(C163,7,4)),VALUE(MID(C163,4,2)),VALUE(MID(C163,1,2)))+TIME(VALUE(MID(C163,12,2)),VALUE(MID(C163,15,2)),0)</f>
        <v>43640.1201388889</v>
      </c>
      <c r="U163" s="2" t="str">
        <f aca="false">IF(AND(ISNUMBER(VALUE(MID(A163,7,1))),ISNUMBER(SEARCH("km",A163)),ISNUMBER(SEARCH("of",A163))),"Distance-location","Named-region")</f>
        <v>Named-region</v>
      </c>
      <c r="V163" s="2" t="str">
        <f aca="false">LOWER(M163)</f>
        <v>mww</v>
      </c>
      <c r="W163" s="5" t="str">
        <f aca="false">IF(COUNTIFS($A$2:$A$1001,A163,$C$2:$C$1001,C163)&gt;1,"Duplicate","Unique")</f>
        <v>Unique</v>
      </c>
    </row>
    <row r="164" customFormat="false" ht="15" hidden="false" customHeight="false" outlineLevel="0" collapsed="false">
      <c r="A164" s="2" t="s">
        <v>494</v>
      </c>
      <c r="B164" s="3" t="n">
        <v>7.3</v>
      </c>
      <c r="C164" s="2" t="s">
        <v>495</v>
      </c>
      <c r="D164" s="2" t="n">
        <v>8</v>
      </c>
      <c r="E164" s="2" t="n">
        <v>6</v>
      </c>
      <c r="F164" s="2" t="s">
        <v>25</v>
      </c>
      <c r="G164" s="2" t="n">
        <v>1</v>
      </c>
      <c r="H164" s="2" t="n">
        <v>830</v>
      </c>
      <c r="I164" s="2" t="s">
        <v>26</v>
      </c>
      <c r="J164" s="2" t="n">
        <v>0</v>
      </c>
      <c r="K164" s="2" t="n">
        <v>1.402</v>
      </c>
      <c r="L164" s="2" t="n">
        <v>11</v>
      </c>
      <c r="M164" s="2" t="s">
        <v>27</v>
      </c>
      <c r="N164" s="3" t="n">
        <v>46</v>
      </c>
      <c r="O164" s="3" t="n">
        <v>-30.6441</v>
      </c>
      <c r="P164" s="3" t="n">
        <v>-178.1</v>
      </c>
      <c r="Q164" s="3" t="s">
        <v>496</v>
      </c>
      <c r="R164" s="2"/>
      <c r="S164" s="2"/>
      <c r="T164" s="4" t="n">
        <f aca="false">DATE(VALUE(MID(C164,7,4)),VALUE(MID(C164,4,2)),VALUE(MID(C164,1,2)))+TIME(VALUE(MID(C164,12,2)),VALUE(MID(C164,15,2)),0)</f>
        <v>43631.9548611111</v>
      </c>
      <c r="U164" s="2" t="str">
        <f aca="false">IF(AND(ISNUMBER(VALUE(MID(A164,7,1))),ISNUMBER(SEARCH("km",A164)),ISNUMBER(SEARCH("of",A164))),"Distance-location","Named-region")</f>
        <v>Named-region</v>
      </c>
      <c r="V164" s="2" t="str">
        <f aca="false">LOWER(M164)</f>
        <v>mww</v>
      </c>
      <c r="W164" s="5" t="str">
        <f aca="false">IF(COUNTIFS($A$2:$A$1001,A164,$C$2:$C$1001,C164)&gt;1,"Duplicate","Unique")</f>
        <v>Unique</v>
      </c>
    </row>
    <row r="165" customFormat="false" ht="15" hidden="false" customHeight="false" outlineLevel="0" collapsed="false">
      <c r="A165" s="2" t="s">
        <v>497</v>
      </c>
      <c r="B165" s="3" t="n">
        <v>6.6</v>
      </c>
      <c r="C165" s="2" t="s">
        <v>498</v>
      </c>
      <c r="D165" s="2" t="n">
        <v>7</v>
      </c>
      <c r="E165" s="2" t="n">
        <v>6</v>
      </c>
      <c r="F165" s="2" t="s">
        <v>32</v>
      </c>
      <c r="G165" s="2" t="n">
        <v>1</v>
      </c>
      <c r="H165" s="2" t="n">
        <v>886</v>
      </c>
      <c r="I165" s="2" t="s">
        <v>26</v>
      </c>
      <c r="J165" s="2" t="n">
        <v>0</v>
      </c>
      <c r="K165" s="2" t="n">
        <v>1.193</v>
      </c>
      <c r="L165" s="2" t="n">
        <v>22</v>
      </c>
      <c r="M165" s="2" t="s">
        <v>27</v>
      </c>
      <c r="N165" s="3" t="n">
        <v>57.92</v>
      </c>
      <c r="O165" s="3" t="n">
        <v>13.1994</v>
      </c>
      <c r="P165" s="3" t="n">
        <v>-89.3056</v>
      </c>
      <c r="Q165" s="3" t="s">
        <v>499</v>
      </c>
      <c r="R165" s="2"/>
      <c r="S165" s="2"/>
      <c r="T165" s="4" t="n">
        <f aca="false">DATE(VALUE(MID(C165,7,4)),VALUE(MID(C165,4,2)),VALUE(MID(C165,1,2)))+TIME(VALUE(MID(C165,12,2)),VALUE(MID(C165,15,2)),0)</f>
        <v>43615.3770833333</v>
      </c>
      <c r="U165" s="2" t="str">
        <f aca="false">IF(AND(ISNUMBER(VALUE(MID(A165,7,1))),ISNUMBER(SEARCH("km",A165)),ISNUMBER(SEARCH("of",A165))),"Distance-location","Named-region")</f>
        <v>Named-region</v>
      </c>
      <c r="V165" s="2" t="str">
        <f aca="false">LOWER(M165)</f>
        <v>mww</v>
      </c>
      <c r="W165" s="5" t="str">
        <f aca="false">IF(COUNTIFS($A$2:$A$1001,A165,$C$2:$C$1001,C165)&gt;1,"Duplicate","Unique")</f>
        <v>Unique</v>
      </c>
    </row>
    <row r="166" customFormat="false" ht="15" hidden="false" customHeight="false" outlineLevel="0" collapsed="false">
      <c r="A166" s="2" t="s">
        <v>500</v>
      </c>
      <c r="B166" s="3" t="n">
        <v>8</v>
      </c>
      <c r="C166" s="2" t="s">
        <v>501</v>
      </c>
      <c r="D166" s="2" t="n">
        <v>9</v>
      </c>
      <c r="E166" s="2" t="n">
        <v>8</v>
      </c>
      <c r="F166" s="2" t="s">
        <v>99</v>
      </c>
      <c r="G166" s="2" t="n">
        <v>1</v>
      </c>
      <c r="H166" s="2" t="n">
        <v>1890</v>
      </c>
      <c r="I166" s="2" t="s">
        <v>26</v>
      </c>
      <c r="J166" s="2" t="n">
        <v>0</v>
      </c>
      <c r="K166" s="2" t="n">
        <v>3.18</v>
      </c>
      <c r="L166" s="2" t="n">
        <v>17</v>
      </c>
      <c r="M166" s="2" t="s">
        <v>27</v>
      </c>
      <c r="N166" s="3" t="n">
        <v>122.57</v>
      </c>
      <c r="O166" s="3" t="n">
        <v>-5.8119</v>
      </c>
      <c r="P166" s="3" t="n">
        <v>-75.2697</v>
      </c>
      <c r="Q166" s="3" t="s">
        <v>502</v>
      </c>
      <c r="R166" s="2" t="s">
        <v>37</v>
      </c>
      <c r="S166" s="2" t="s">
        <v>203</v>
      </c>
      <c r="T166" s="4" t="n">
        <f aca="false">DATE(VALUE(MID(C166,7,4)),VALUE(MID(C166,4,2)),VALUE(MID(C166,1,2)))+TIME(VALUE(MID(C166,12,2)),VALUE(MID(C166,15,2)),0)</f>
        <v>43611.3201388889</v>
      </c>
      <c r="U166" s="2" t="str">
        <f aca="false">IF(AND(ISNUMBER(VALUE(MID(A166,7,1))),ISNUMBER(SEARCH("km",A166)),ISNUMBER(SEARCH("of",A166))),"Distance-location","Named-region")</f>
        <v>Named-region</v>
      </c>
      <c r="V166" s="2" t="str">
        <f aca="false">LOWER(M166)</f>
        <v>mww</v>
      </c>
      <c r="W166" s="5" t="str">
        <f aca="false">IF(COUNTIFS($A$2:$A$1001,A166,$C$2:$C$1001,C166)&gt;1,"Duplicate","Unique")</f>
        <v>Unique</v>
      </c>
    </row>
    <row r="167" customFormat="false" ht="15" hidden="false" customHeight="false" outlineLevel="0" collapsed="false">
      <c r="A167" s="2" t="s">
        <v>503</v>
      </c>
      <c r="B167" s="3" t="n">
        <v>7.6</v>
      </c>
      <c r="C167" s="2" t="s">
        <v>504</v>
      </c>
      <c r="D167" s="2" t="n">
        <v>7</v>
      </c>
      <c r="E167" s="2" t="n">
        <v>7</v>
      </c>
      <c r="F167" s="2" t="s">
        <v>25</v>
      </c>
      <c r="G167" s="2" t="n">
        <v>1</v>
      </c>
      <c r="H167" s="2" t="n">
        <v>929</v>
      </c>
      <c r="I167" s="2" t="s">
        <v>26</v>
      </c>
      <c r="J167" s="2" t="n">
        <v>0</v>
      </c>
      <c r="K167" s="2" t="n">
        <v>0.453</v>
      </c>
      <c r="L167" s="2" t="n">
        <v>16</v>
      </c>
      <c r="M167" s="2" t="s">
        <v>27</v>
      </c>
      <c r="N167" s="3" t="n">
        <v>10</v>
      </c>
      <c r="O167" s="3" t="n">
        <v>-4.051</v>
      </c>
      <c r="P167" s="3" t="n">
        <v>152.597</v>
      </c>
      <c r="Q167" s="3" t="s">
        <v>505</v>
      </c>
      <c r="R167" s="2"/>
      <c r="S167" s="2" t="s">
        <v>89</v>
      </c>
      <c r="T167" s="4" t="n">
        <f aca="false">DATE(VALUE(MID(C167,7,4)),VALUE(MID(C167,4,2)),VALUE(MID(C167,1,2)))+TIME(VALUE(MID(C167,12,2)),VALUE(MID(C167,15,2)),0)</f>
        <v>43599.5402777778</v>
      </c>
      <c r="U167" s="2" t="str">
        <f aca="false">IF(AND(ISNUMBER(VALUE(MID(A167,7,1))),ISNUMBER(SEARCH("km",A167)),ISNUMBER(SEARCH("of",A167))),"Distance-location","Named-region")</f>
        <v>Named-region</v>
      </c>
      <c r="V167" s="2" t="str">
        <f aca="false">LOWER(M167)</f>
        <v>mww</v>
      </c>
      <c r="W167" s="5" t="str">
        <f aca="false">IF(COUNTIFS($A$2:$A$1001,A167,$C$2:$C$1001,C167)&gt;1,"Duplicate","Unique")</f>
        <v>Unique</v>
      </c>
    </row>
    <row r="168" customFormat="false" ht="15" hidden="false" customHeight="false" outlineLevel="0" collapsed="false">
      <c r="A168" s="2" t="s">
        <v>506</v>
      </c>
      <c r="B168" s="3" t="n">
        <v>7.1</v>
      </c>
      <c r="C168" s="2" t="s">
        <v>507</v>
      </c>
      <c r="D168" s="2" t="n">
        <v>7</v>
      </c>
      <c r="E168" s="2" t="n">
        <v>6</v>
      </c>
      <c r="F168" s="2" t="s">
        <v>32</v>
      </c>
      <c r="G168" s="2" t="n">
        <v>1</v>
      </c>
      <c r="H168" s="2" t="n">
        <v>826</v>
      </c>
      <c r="I168" s="2" t="s">
        <v>26</v>
      </c>
      <c r="J168" s="2" t="n">
        <v>0</v>
      </c>
      <c r="K168" s="2" t="n">
        <v>2.514</v>
      </c>
      <c r="L168" s="2" t="n">
        <v>16</v>
      </c>
      <c r="M168" s="2" t="s">
        <v>27</v>
      </c>
      <c r="N168" s="3" t="n">
        <v>146</v>
      </c>
      <c r="O168" s="3" t="n">
        <v>-6.9746</v>
      </c>
      <c r="P168" s="3" t="n">
        <v>146.449</v>
      </c>
      <c r="Q168" s="3" t="s">
        <v>508</v>
      </c>
      <c r="R168" s="2"/>
      <c r="S168" s="2" t="s">
        <v>89</v>
      </c>
      <c r="T168" s="4" t="n">
        <f aca="false">DATE(VALUE(MID(C168,7,4)),VALUE(MID(C168,4,2)),VALUE(MID(C168,1,2)))+TIME(VALUE(MID(C168,12,2)),VALUE(MID(C168,15,2)),0)</f>
        <v>43591.8881944444</v>
      </c>
      <c r="U168" s="2" t="str">
        <f aca="false">IF(AND(ISNUMBER(VALUE(MID(A168,7,1))),ISNUMBER(SEARCH("km",A168)),ISNUMBER(SEARCH("of",A168))),"Distance-location","Named-region")</f>
        <v>Named-region</v>
      </c>
      <c r="V168" s="2" t="str">
        <f aca="false">LOWER(M168)</f>
        <v>mww</v>
      </c>
      <c r="W168" s="5" t="str">
        <f aca="false">IF(COUNTIFS($A$2:$A$1001,A168,$C$2:$C$1001,C168)&gt;1,"Duplicate","Unique")</f>
        <v>Unique</v>
      </c>
    </row>
    <row r="169" customFormat="false" ht="15" hidden="false" customHeight="false" outlineLevel="0" collapsed="false">
      <c r="A169" s="2" t="s">
        <v>509</v>
      </c>
      <c r="B169" s="3" t="n">
        <v>6.8</v>
      </c>
      <c r="C169" s="2" t="s">
        <v>510</v>
      </c>
      <c r="D169" s="2" t="n">
        <v>5</v>
      </c>
      <c r="E169" s="2" t="n">
        <v>6</v>
      </c>
      <c r="F169" s="2" t="s">
        <v>25</v>
      </c>
      <c r="G169" s="2" t="n">
        <v>1</v>
      </c>
      <c r="H169" s="2" t="n">
        <v>717</v>
      </c>
      <c r="I169" s="2" t="s">
        <v>26</v>
      </c>
      <c r="J169" s="2" t="n">
        <v>0</v>
      </c>
      <c r="K169" s="2" t="n">
        <v>0.791</v>
      </c>
      <c r="L169" s="2" t="n">
        <v>28</v>
      </c>
      <c r="M169" s="2" t="s">
        <v>27</v>
      </c>
      <c r="N169" s="3" t="n">
        <v>15.46</v>
      </c>
      <c r="O169" s="3" t="n">
        <v>-1.8146</v>
      </c>
      <c r="P169" s="3" t="n">
        <v>122.58</v>
      </c>
      <c r="Q169" s="3" t="s">
        <v>511</v>
      </c>
      <c r="R169" s="2"/>
      <c r="S169" s="2" t="s">
        <v>72</v>
      </c>
      <c r="T169" s="4" t="n">
        <f aca="false">DATE(VALUE(MID(C169,7,4)),VALUE(MID(C169,4,2)),VALUE(MID(C169,1,2)))+TIME(VALUE(MID(C169,12,2)),VALUE(MID(C169,15,2)),0)</f>
        <v>43567.4861111111</v>
      </c>
      <c r="U169" s="2" t="str">
        <f aca="false">IF(AND(ISNUMBER(VALUE(MID(A169,7,1))),ISNUMBER(SEARCH("km",A169)),ISNUMBER(SEARCH("of",A169))),"Distance-location","Named-region")</f>
        <v>Named-region</v>
      </c>
      <c r="V169" s="2" t="str">
        <f aca="false">LOWER(M169)</f>
        <v>mww</v>
      </c>
      <c r="W169" s="5" t="str">
        <f aca="false">IF(COUNTIFS($A$2:$A$1001,A169,$C$2:$C$1001,C169)&gt;1,"Duplicate","Unique")</f>
        <v>Unique</v>
      </c>
    </row>
    <row r="170" customFormat="false" ht="28.35" hidden="false" customHeight="false" outlineLevel="0" collapsed="false">
      <c r="A170" s="2" t="s">
        <v>512</v>
      </c>
      <c r="B170" s="3" t="n">
        <v>6.5</v>
      </c>
      <c r="C170" s="2" t="s">
        <v>513</v>
      </c>
      <c r="D170" s="2" t="n">
        <v>0</v>
      </c>
      <c r="E170" s="2" t="n">
        <v>5</v>
      </c>
      <c r="F170" s="2" t="s">
        <v>25</v>
      </c>
      <c r="G170" s="2" t="n">
        <v>1</v>
      </c>
      <c r="H170" s="2" t="n">
        <v>650</v>
      </c>
      <c r="I170" s="2" t="s">
        <v>26</v>
      </c>
      <c r="J170" s="2" t="n">
        <v>0</v>
      </c>
      <c r="K170" s="2" t="n">
        <v>7.568</v>
      </c>
      <c r="L170" s="2" t="n">
        <v>18</v>
      </c>
      <c r="M170" s="2" t="s">
        <v>27</v>
      </c>
      <c r="N170" s="3" t="n">
        <v>38</v>
      </c>
      <c r="O170" s="3" t="n">
        <v>-58.6262</v>
      </c>
      <c r="P170" s="3" t="n">
        <v>-25.304</v>
      </c>
      <c r="Q170" s="3" t="s">
        <v>467</v>
      </c>
      <c r="R170" s="2"/>
      <c r="S170" s="2"/>
      <c r="T170" s="4" t="n">
        <f aca="false">DATE(VALUE(MID(C170,7,4)),VALUE(MID(C170,4,2)),VALUE(MID(C170,1,2)))+TIME(VALUE(MID(C170,12,2)),VALUE(MID(C170,15,2)),0)</f>
        <v>43564.7451388889</v>
      </c>
      <c r="U170" s="2" t="str">
        <f aca="false">IF(AND(ISNUMBER(VALUE(MID(A170,7,1))),ISNUMBER(SEARCH("km",A170)),ISNUMBER(SEARCH("of",A170))),"Distance-location","Named-region")</f>
        <v>Named-region</v>
      </c>
      <c r="V170" s="2" t="str">
        <f aca="false">LOWER(M170)</f>
        <v>mww</v>
      </c>
      <c r="W170" s="5" t="str">
        <f aca="false">IF(COUNTIFS($A$2:$A$1001,A170,$C$2:$C$1001,C170)&gt;1,"Duplicate","Unique")</f>
        <v>Unique</v>
      </c>
    </row>
    <row r="171" customFormat="false" ht="15" hidden="false" customHeight="false" outlineLevel="0" collapsed="false">
      <c r="A171" s="2" t="s">
        <v>514</v>
      </c>
      <c r="B171" s="3" t="n">
        <v>7</v>
      </c>
      <c r="C171" s="2" t="s">
        <v>515</v>
      </c>
      <c r="D171" s="2" t="n">
        <v>7</v>
      </c>
      <c r="E171" s="2" t="n">
        <v>4</v>
      </c>
      <c r="F171" s="2" t="s">
        <v>25</v>
      </c>
      <c r="G171" s="2" t="n">
        <v>1</v>
      </c>
      <c r="H171" s="2" t="n">
        <v>869</v>
      </c>
      <c r="I171" s="2" t="s">
        <v>26</v>
      </c>
      <c r="J171" s="2" t="n">
        <v>0</v>
      </c>
      <c r="K171" s="2" t="n">
        <v>2.501</v>
      </c>
      <c r="L171" s="2" t="n">
        <v>42</v>
      </c>
      <c r="M171" s="2" t="s">
        <v>27</v>
      </c>
      <c r="N171" s="3" t="n">
        <v>267</v>
      </c>
      <c r="O171" s="3" t="n">
        <v>-14.7131</v>
      </c>
      <c r="P171" s="3" t="n">
        <v>-70.1546</v>
      </c>
      <c r="Q171" s="3" t="s">
        <v>202</v>
      </c>
      <c r="R171" s="2" t="s">
        <v>37</v>
      </c>
      <c r="S171" s="2" t="s">
        <v>203</v>
      </c>
      <c r="T171" s="4" t="n">
        <f aca="false">DATE(VALUE(MID(C171,7,4)),VALUE(MID(C171,4,2)),VALUE(MID(C171,1,2)))+TIME(VALUE(MID(C171,12,2)),VALUE(MID(C171,15,2)),0)</f>
        <v>43525.3680555556</v>
      </c>
      <c r="U171" s="2" t="str">
        <f aca="false">IF(AND(ISNUMBER(VALUE(MID(A171,7,1))),ISNUMBER(SEARCH("km",A171)),ISNUMBER(SEARCH("of",A171))),"Distance-location","Named-region")</f>
        <v>Named-region</v>
      </c>
      <c r="V171" s="2" t="str">
        <f aca="false">LOWER(M171)</f>
        <v>mww</v>
      </c>
      <c r="W171" s="5" t="str">
        <f aca="false">IF(COUNTIFS($A$2:$A$1001,A171,$C$2:$C$1001,C171)&gt;1,"Duplicate","Unique")</f>
        <v>Unique</v>
      </c>
    </row>
    <row r="172" customFormat="false" ht="15" hidden="false" customHeight="false" outlineLevel="0" collapsed="false">
      <c r="A172" s="2" t="s">
        <v>516</v>
      </c>
      <c r="B172" s="3" t="n">
        <v>7.5</v>
      </c>
      <c r="C172" s="2" t="s">
        <v>517</v>
      </c>
      <c r="D172" s="2" t="n">
        <v>7</v>
      </c>
      <c r="E172" s="2" t="n">
        <v>7</v>
      </c>
      <c r="F172" s="2" t="s">
        <v>32</v>
      </c>
      <c r="G172" s="2" t="n">
        <v>1</v>
      </c>
      <c r="H172" s="2" t="n">
        <v>1145</v>
      </c>
      <c r="I172" s="2" t="s">
        <v>26</v>
      </c>
      <c r="J172" s="2" t="n">
        <v>0</v>
      </c>
      <c r="K172" s="2" t="n">
        <v>2.045</v>
      </c>
      <c r="L172" s="2" t="n">
        <v>15</v>
      </c>
      <c r="M172" s="2" t="s">
        <v>27</v>
      </c>
      <c r="N172" s="3" t="n">
        <v>145</v>
      </c>
      <c r="O172" s="3" t="n">
        <v>-2.1862</v>
      </c>
      <c r="P172" s="3" t="n">
        <v>-77.0505</v>
      </c>
      <c r="Q172" s="3" t="s">
        <v>518</v>
      </c>
      <c r="R172" s="2" t="s">
        <v>37</v>
      </c>
      <c r="S172" s="2" t="s">
        <v>100</v>
      </c>
      <c r="T172" s="4" t="n">
        <f aca="false">DATE(VALUE(MID(C172,7,4)),VALUE(MID(C172,4,2)),VALUE(MID(C172,1,2)))+TIME(VALUE(MID(C172,12,2)),VALUE(MID(C172,15,2)),0)</f>
        <v>43518.4284722222</v>
      </c>
      <c r="U172" s="2" t="str">
        <f aca="false">IF(AND(ISNUMBER(VALUE(MID(A172,7,1))),ISNUMBER(SEARCH("km",A172)),ISNUMBER(SEARCH("of",A172))),"Distance-location","Named-region")</f>
        <v>Named-region</v>
      </c>
      <c r="V172" s="2" t="str">
        <f aca="false">LOWER(M172)</f>
        <v>mww</v>
      </c>
      <c r="W172" s="5" t="str">
        <f aca="false">IF(COUNTIFS($A$2:$A$1001,A172,$C$2:$C$1001,C172)&gt;1,"Duplicate","Unique")</f>
        <v>Unique</v>
      </c>
    </row>
    <row r="173" customFormat="false" ht="15" hidden="false" customHeight="false" outlineLevel="0" collapsed="false">
      <c r="A173" s="2" t="s">
        <v>519</v>
      </c>
      <c r="B173" s="3" t="n">
        <v>6.7</v>
      </c>
      <c r="C173" s="2" t="s">
        <v>520</v>
      </c>
      <c r="D173" s="2" t="n">
        <v>6</v>
      </c>
      <c r="E173" s="2" t="n">
        <v>6</v>
      </c>
      <c r="F173" s="2" t="s">
        <v>32</v>
      </c>
      <c r="G173" s="2" t="n">
        <v>1</v>
      </c>
      <c r="H173" s="2" t="n">
        <v>909</v>
      </c>
      <c r="I173" s="2" t="s">
        <v>26</v>
      </c>
      <c r="J173" s="2" t="n">
        <v>0</v>
      </c>
      <c r="K173" s="2" t="n">
        <v>0.289</v>
      </c>
      <c r="L173" s="2" t="n">
        <v>43</v>
      </c>
      <c r="M173" s="2" t="s">
        <v>27</v>
      </c>
      <c r="N173" s="3" t="n">
        <v>66</v>
      </c>
      <c r="O173" s="3" t="n">
        <v>14.6802</v>
      </c>
      <c r="P173" s="3" t="n">
        <v>-92.4527</v>
      </c>
      <c r="Q173" s="3" t="s">
        <v>521</v>
      </c>
      <c r="R173" s="2"/>
      <c r="S173" s="2" t="s">
        <v>169</v>
      </c>
      <c r="T173" s="4" t="n">
        <f aca="false">DATE(VALUE(MID(C173,7,4)),VALUE(MID(C173,4,2)),VALUE(MID(C173,1,2)))+TIME(VALUE(MID(C173,12,2)),VALUE(MID(C173,15,2)),0)</f>
        <v>43497.6763888889</v>
      </c>
      <c r="U173" s="2" t="str">
        <f aca="false">IF(AND(ISNUMBER(VALUE(MID(A173,7,1))),ISNUMBER(SEARCH("km",A173)),ISNUMBER(SEARCH("of",A173))),"Distance-location","Named-region")</f>
        <v>Named-region</v>
      </c>
      <c r="V173" s="2" t="str">
        <f aca="false">LOWER(M173)</f>
        <v>mww</v>
      </c>
      <c r="W173" s="5" t="str">
        <f aca="false">IF(COUNTIFS($A$2:$A$1001,A173,$C$2:$C$1001,C173)&gt;1,"Duplicate","Unique")</f>
        <v>Unique</v>
      </c>
    </row>
    <row r="174" customFormat="false" ht="15" hidden="false" customHeight="false" outlineLevel="0" collapsed="false">
      <c r="A174" s="2" t="s">
        <v>522</v>
      </c>
      <c r="B174" s="3" t="n">
        <v>6.7</v>
      </c>
      <c r="C174" s="2" t="s">
        <v>523</v>
      </c>
      <c r="D174" s="2" t="n">
        <v>0</v>
      </c>
      <c r="E174" s="2" t="n">
        <v>3</v>
      </c>
      <c r="F174" s="2" t="s">
        <v>25</v>
      </c>
      <c r="G174" s="2" t="n">
        <v>0</v>
      </c>
      <c r="H174" s="2" t="n">
        <v>691</v>
      </c>
      <c r="I174" s="2" t="s">
        <v>26</v>
      </c>
      <c r="J174" s="2" t="n">
        <v>0</v>
      </c>
      <c r="K174" s="2" t="n">
        <v>7.527</v>
      </c>
      <c r="L174" s="2" t="n">
        <v>17</v>
      </c>
      <c r="M174" s="2" t="s">
        <v>27</v>
      </c>
      <c r="N174" s="3" t="n">
        <v>13</v>
      </c>
      <c r="O174" s="3" t="n">
        <v>-43.1219</v>
      </c>
      <c r="P174" s="3" t="n">
        <v>42.3568</v>
      </c>
      <c r="Q174" s="3" t="s">
        <v>524</v>
      </c>
      <c r="R174" s="2"/>
      <c r="S174" s="2"/>
      <c r="T174" s="4" t="n">
        <f aca="false">DATE(VALUE(MID(C174,7,4)),VALUE(MID(C174,4,2)),VALUE(MID(C174,1,2)))+TIME(VALUE(MID(C174,12,2)),VALUE(MID(C174,15,2)),0)</f>
        <v>43487.7923611111</v>
      </c>
      <c r="U174" s="2" t="str">
        <f aca="false">IF(AND(ISNUMBER(VALUE(MID(A174,7,1))),ISNUMBER(SEARCH("km",A174)),ISNUMBER(SEARCH("of",A174))),"Distance-location","Named-region")</f>
        <v>Named-region</v>
      </c>
      <c r="V174" s="2" t="str">
        <f aca="false">LOWER(M174)</f>
        <v>mww</v>
      </c>
      <c r="W174" s="5" t="str">
        <f aca="false">IF(COUNTIFS($A$2:$A$1001,A174,$C$2:$C$1001,C174)&gt;1,"Duplicate","Unique")</f>
        <v>Unique</v>
      </c>
    </row>
    <row r="175" customFormat="false" ht="15" hidden="false" customHeight="false" outlineLevel="0" collapsed="false">
      <c r="A175" s="2" t="s">
        <v>525</v>
      </c>
      <c r="B175" s="3" t="n">
        <v>6.7</v>
      </c>
      <c r="C175" s="2" t="s">
        <v>526</v>
      </c>
      <c r="D175" s="2" t="n">
        <v>8</v>
      </c>
      <c r="E175" s="2" t="n">
        <v>8</v>
      </c>
      <c r="F175" s="2" t="s">
        <v>99</v>
      </c>
      <c r="G175" s="2" t="n">
        <v>1</v>
      </c>
      <c r="H175" s="2" t="n">
        <v>1600</v>
      </c>
      <c r="I175" s="2" t="s">
        <v>26</v>
      </c>
      <c r="J175" s="2" t="n">
        <v>0</v>
      </c>
      <c r="K175" s="2" t="n">
        <v>0.173</v>
      </c>
      <c r="L175" s="2" t="n">
        <v>22</v>
      </c>
      <c r="M175" s="2" t="s">
        <v>27</v>
      </c>
      <c r="N175" s="3" t="n">
        <v>63</v>
      </c>
      <c r="O175" s="3" t="n">
        <v>-30.0404</v>
      </c>
      <c r="P175" s="3" t="n">
        <v>-71.3815</v>
      </c>
      <c r="Q175" s="3" t="s">
        <v>527</v>
      </c>
      <c r="R175" s="2" t="s">
        <v>37</v>
      </c>
      <c r="S175" s="2" t="s">
        <v>377</v>
      </c>
      <c r="T175" s="4" t="n">
        <f aca="false">DATE(VALUE(MID(C175,7,4)),VALUE(MID(C175,4,2)),VALUE(MID(C175,1,2)))+TIME(VALUE(MID(C175,12,2)),VALUE(MID(C175,15,2)),0)</f>
        <v>43485.0638888889</v>
      </c>
      <c r="U175" s="2" t="str">
        <f aca="false">IF(AND(ISNUMBER(VALUE(MID(A175,7,1))),ISNUMBER(SEARCH("km",A175)),ISNUMBER(SEARCH("of",A175))),"Distance-location","Named-region")</f>
        <v>Named-region</v>
      </c>
      <c r="V175" s="2" t="str">
        <f aca="false">LOWER(M175)</f>
        <v>mww</v>
      </c>
      <c r="W175" s="5" t="str">
        <f aca="false">IF(COUNTIFS($A$2:$A$1001,A175,$C$2:$C$1001,C175)&gt;1,"Duplicate","Unique")</f>
        <v>Unique</v>
      </c>
    </row>
    <row r="176" customFormat="false" ht="15" hidden="false" customHeight="false" outlineLevel="0" collapsed="false">
      <c r="A176" s="2" t="s">
        <v>528</v>
      </c>
      <c r="B176" s="3" t="n">
        <v>6.6</v>
      </c>
      <c r="C176" s="2" t="s">
        <v>529</v>
      </c>
      <c r="D176" s="2" t="n">
        <v>5</v>
      </c>
      <c r="E176" s="2" t="n">
        <v>4</v>
      </c>
      <c r="F176" s="2" t="s">
        <v>25</v>
      </c>
      <c r="G176" s="2" t="n">
        <v>1</v>
      </c>
      <c r="H176" s="2" t="n">
        <v>671</v>
      </c>
      <c r="I176" s="2" t="s">
        <v>26</v>
      </c>
      <c r="J176" s="2" t="n">
        <v>0</v>
      </c>
      <c r="K176" s="2" t="n">
        <v>7.818</v>
      </c>
      <c r="L176" s="2" t="n">
        <v>18</v>
      </c>
      <c r="M176" s="2" t="s">
        <v>27</v>
      </c>
      <c r="N176" s="3" t="n">
        <v>35</v>
      </c>
      <c r="O176" s="3" t="n">
        <v>-13.336</v>
      </c>
      <c r="P176" s="3" t="n">
        <v>166.875</v>
      </c>
      <c r="Q176" s="3" t="s">
        <v>28</v>
      </c>
      <c r="R176" s="2"/>
      <c r="S176" s="2" t="s">
        <v>29</v>
      </c>
      <c r="T176" s="4" t="n">
        <f aca="false">DATE(VALUE(MID(C176,7,4)),VALUE(MID(C176,4,2)),VALUE(MID(C176,1,2)))+TIME(VALUE(MID(C176,12,2)),VALUE(MID(C176,15,2)),0)</f>
        <v>43480.7541666667</v>
      </c>
      <c r="U176" s="2" t="str">
        <f aca="false">IF(AND(ISNUMBER(VALUE(MID(A176,7,1))),ISNUMBER(SEARCH("km",A176)),ISNUMBER(SEARCH("of",A176))),"Distance-location","Named-region")</f>
        <v>Named-region</v>
      </c>
      <c r="V176" s="2" t="str">
        <f aca="false">LOWER(M176)</f>
        <v>mww</v>
      </c>
      <c r="W176" s="5" t="str">
        <f aca="false">IF(COUNTIFS($A$2:$A$1001,A176,$C$2:$C$1001,C176)&gt;1,"Duplicate","Unique")</f>
        <v>Unique</v>
      </c>
    </row>
    <row r="177" customFormat="false" ht="15" hidden="false" customHeight="false" outlineLevel="0" collapsed="false">
      <c r="A177" s="2" t="s">
        <v>530</v>
      </c>
      <c r="B177" s="3" t="n">
        <v>6.6</v>
      </c>
      <c r="C177" s="2" t="s">
        <v>531</v>
      </c>
      <c r="D177" s="2" t="n">
        <v>2</v>
      </c>
      <c r="E177" s="2" t="n">
        <v>4</v>
      </c>
      <c r="F177" s="2" t="s">
        <v>25</v>
      </c>
      <c r="G177" s="2" t="n">
        <v>1</v>
      </c>
      <c r="H177" s="2" t="n">
        <v>672</v>
      </c>
      <c r="I177" s="2" t="s">
        <v>26</v>
      </c>
      <c r="J177" s="2" t="n">
        <v>0</v>
      </c>
      <c r="K177" s="2" t="n">
        <v>1.596</v>
      </c>
      <c r="L177" s="2" t="n">
        <v>33</v>
      </c>
      <c r="M177" s="2" t="s">
        <v>27</v>
      </c>
      <c r="N177" s="3" t="n">
        <v>43.21</v>
      </c>
      <c r="O177" s="3" t="n">
        <v>2.258</v>
      </c>
      <c r="P177" s="3" t="n">
        <v>126.758</v>
      </c>
      <c r="Q177" s="3" t="s">
        <v>532</v>
      </c>
      <c r="R177" s="2"/>
      <c r="S177" s="2" t="s">
        <v>72</v>
      </c>
      <c r="T177" s="4" t="n">
        <f aca="false">DATE(VALUE(MID(C177,7,4)),VALUE(MID(C177,4,2)),VALUE(MID(C177,1,2)))+TIME(VALUE(MID(C177,12,2)),VALUE(MID(C177,15,2)),0)</f>
        <v>43471.7270833333</v>
      </c>
      <c r="U177" s="2" t="str">
        <f aca="false">IF(AND(ISNUMBER(VALUE(MID(A177,7,1))),ISNUMBER(SEARCH("km",A177)),ISNUMBER(SEARCH("of",A177))),"Distance-location","Named-region")</f>
        <v>Named-region</v>
      </c>
      <c r="V177" s="2" t="str">
        <f aca="false">LOWER(M177)</f>
        <v>mww</v>
      </c>
      <c r="W177" s="5" t="str">
        <f aca="false">IF(COUNTIFS($A$2:$A$1001,A177,$C$2:$C$1001,C177)&gt;1,"Duplicate","Unique")</f>
        <v>Unique</v>
      </c>
    </row>
    <row r="178" customFormat="false" ht="15" hidden="false" customHeight="false" outlineLevel="0" collapsed="false">
      <c r="A178" s="2" t="s">
        <v>533</v>
      </c>
      <c r="B178" s="3" t="n">
        <v>6.8</v>
      </c>
      <c r="C178" s="2" t="s">
        <v>534</v>
      </c>
      <c r="D178" s="2" t="n">
        <v>3</v>
      </c>
      <c r="E178" s="2" t="n">
        <v>3</v>
      </c>
      <c r="F178" s="2" t="s">
        <v>25</v>
      </c>
      <c r="G178" s="2" t="n">
        <v>0</v>
      </c>
      <c r="H178" s="2" t="n">
        <v>715</v>
      </c>
      <c r="I178" s="2" t="s">
        <v>26</v>
      </c>
      <c r="J178" s="2" t="n">
        <v>0</v>
      </c>
      <c r="K178" s="2" t="n">
        <v>1.181</v>
      </c>
      <c r="L178" s="2" t="n">
        <v>16</v>
      </c>
      <c r="M178" s="2" t="s">
        <v>27</v>
      </c>
      <c r="N178" s="3" t="n">
        <v>570.41</v>
      </c>
      <c r="O178" s="3" t="n">
        <v>-8.144</v>
      </c>
      <c r="P178" s="3" t="n">
        <v>-71.587</v>
      </c>
      <c r="Q178" s="3" t="s">
        <v>535</v>
      </c>
      <c r="R178" s="2" t="s">
        <v>37</v>
      </c>
      <c r="S178" s="2" t="s">
        <v>199</v>
      </c>
      <c r="T178" s="4" t="n">
        <f aca="false">DATE(VALUE(MID(C178,7,4)),VALUE(MID(C178,4,2)),VALUE(MID(C178,1,2)))+TIME(VALUE(MID(C178,12,2)),VALUE(MID(C178,15,2)),0)</f>
        <v>43470.8090277778</v>
      </c>
      <c r="U178" s="2" t="str">
        <f aca="false">IF(AND(ISNUMBER(VALUE(MID(A178,7,1))),ISNUMBER(SEARCH("km",A178)),ISNUMBER(SEARCH("of",A178))),"Distance-location","Named-region")</f>
        <v>Named-region</v>
      </c>
      <c r="V178" s="2" t="str">
        <f aca="false">LOWER(M178)</f>
        <v>mww</v>
      </c>
      <c r="W178" s="5" t="str">
        <f aca="false">IF(COUNTIFS($A$2:$A$1001,A178,$C$2:$C$1001,C178)&gt;1,"Duplicate","Unique")</f>
        <v>Unique</v>
      </c>
    </row>
    <row r="179" customFormat="false" ht="15" hidden="false" customHeight="false" outlineLevel="0" collapsed="false">
      <c r="A179" s="2" t="s">
        <v>536</v>
      </c>
      <c r="B179" s="3" t="n">
        <v>7</v>
      </c>
      <c r="C179" s="2" t="s">
        <v>537</v>
      </c>
      <c r="D179" s="2" t="n">
        <v>5</v>
      </c>
      <c r="E179" s="2" t="n">
        <v>5</v>
      </c>
      <c r="F179" s="2" t="s">
        <v>25</v>
      </c>
      <c r="G179" s="2" t="n">
        <v>1</v>
      </c>
      <c r="H179" s="2" t="n">
        <v>803</v>
      </c>
      <c r="I179" s="2" t="s">
        <v>26</v>
      </c>
      <c r="J179" s="2" t="n">
        <v>0</v>
      </c>
      <c r="K179" s="2" t="n">
        <v>1.769</v>
      </c>
      <c r="L179" s="2" t="n">
        <v>21</v>
      </c>
      <c r="M179" s="2" t="s">
        <v>27</v>
      </c>
      <c r="N179" s="3" t="n">
        <v>60.21</v>
      </c>
      <c r="O179" s="3" t="n">
        <v>5.8983</v>
      </c>
      <c r="P179" s="3" t="n">
        <v>126.921</v>
      </c>
      <c r="Q179" s="3" t="s">
        <v>301</v>
      </c>
      <c r="R179" s="2"/>
      <c r="S179" s="2"/>
      <c r="T179" s="4" t="n">
        <f aca="false">DATE(VALUE(MID(C179,7,4)),VALUE(MID(C179,4,2)),VALUE(MID(C179,1,2)))+TIME(VALUE(MID(C179,12,2)),VALUE(MID(C179,15,2)),0)</f>
        <v>43463.1520833333</v>
      </c>
      <c r="U179" s="2" t="str">
        <f aca="false">IF(AND(ISNUMBER(VALUE(MID(A179,7,1))),ISNUMBER(SEARCH("km",A179)),ISNUMBER(SEARCH("of",A179))),"Distance-location","Named-region")</f>
        <v>Named-region</v>
      </c>
      <c r="V179" s="2" t="str">
        <f aca="false">LOWER(M179)</f>
        <v>mww</v>
      </c>
      <c r="W179" s="5" t="str">
        <f aca="false">IF(COUNTIFS($A$2:$A$1001,A179,$C$2:$C$1001,C179)&gt;1,"Duplicate","Unique")</f>
        <v>Unique</v>
      </c>
    </row>
    <row r="180" customFormat="false" ht="15" hidden="false" customHeight="false" outlineLevel="0" collapsed="false">
      <c r="A180" s="2" t="s">
        <v>538</v>
      </c>
      <c r="B180" s="3" t="n">
        <v>7.3</v>
      </c>
      <c r="C180" s="2" t="s">
        <v>539</v>
      </c>
      <c r="D180" s="2" t="n">
        <v>3</v>
      </c>
      <c r="E180" s="2" t="n">
        <v>7</v>
      </c>
      <c r="F180" s="2" t="s">
        <v>25</v>
      </c>
      <c r="G180" s="2" t="n">
        <v>1</v>
      </c>
      <c r="H180" s="2" t="n">
        <v>822</v>
      </c>
      <c r="I180" s="2" t="s">
        <v>26</v>
      </c>
      <c r="J180" s="2" t="n">
        <v>0</v>
      </c>
      <c r="K180" s="2" t="n">
        <v>4.126</v>
      </c>
      <c r="L180" s="2" t="n">
        <v>23</v>
      </c>
      <c r="M180" s="2" t="s">
        <v>27</v>
      </c>
      <c r="N180" s="3" t="n">
        <v>16.56</v>
      </c>
      <c r="O180" s="3" t="n">
        <v>55.0999</v>
      </c>
      <c r="P180" s="3" t="n">
        <v>164.699</v>
      </c>
      <c r="Q180" s="3" t="s">
        <v>338</v>
      </c>
      <c r="R180" s="2"/>
      <c r="S180" s="2"/>
      <c r="T180" s="4" t="n">
        <f aca="false">DATE(VALUE(MID(C180,7,4)),VALUE(MID(C180,4,2)),VALUE(MID(C180,1,2)))+TIME(VALUE(MID(C180,12,2)),VALUE(MID(C180,15,2)),0)</f>
        <v>43454.7090277778</v>
      </c>
      <c r="U180" s="2" t="str">
        <f aca="false">IF(AND(ISNUMBER(VALUE(MID(A180,7,1))),ISNUMBER(SEARCH("km",A180)),ISNUMBER(SEARCH("of",A180))),"Distance-location","Named-region")</f>
        <v>Named-region</v>
      </c>
      <c r="V180" s="2" t="str">
        <f aca="false">LOWER(M180)</f>
        <v>mww</v>
      </c>
      <c r="W180" s="5" t="str">
        <f aca="false">IF(COUNTIFS($A$2:$A$1001,A180,$C$2:$C$1001,C180)&gt;1,"Duplicate","Unique")</f>
        <v>Unique</v>
      </c>
    </row>
    <row r="181" customFormat="false" ht="28.35" hidden="false" customHeight="false" outlineLevel="0" collapsed="false">
      <c r="A181" s="2" t="s">
        <v>277</v>
      </c>
      <c r="B181" s="3" t="n">
        <v>7.1</v>
      </c>
      <c r="C181" s="2" t="s">
        <v>540</v>
      </c>
      <c r="D181" s="2" t="n">
        <v>0</v>
      </c>
      <c r="E181" s="2" t="n">
        <v>5</v>
      </c>
      <c r="F181" s="2" t="s">
        <v>25</v>
      </c>
      <c r="G181" s="2" t="n">
        <v>1</v>
      </c>
      <c r="H181" s="2" t="n">
        <v>776</v>
      </c>
      <c r="I181" s="2" t="s">
        <v>26</v>
      </c>
      <c r="J181" s="2" t="n">
        <v>0</v>
      </c>
      <c r="K181" s="2" t="n">
        <v>7.043</v>
      </c>
      <c r="L181" s="2" t="n">
        <v>20</v>
      </c>
      <c r="M181" s="2" t="s">
        <v>27</v>
      </c>
      <c r="N181" s="3" t="n">
        <v>133</v>
      </c>
      <c r="O181" s="3" t="n">
        <v>-58.5446</v>
      </c>
      <c r="P181" s="3" t="n">
        <v>-26.3856</v>
      </c>
      <c r="Q181" s="3" t="s">
        <v>279</v>
      </c>
      <c r="R181" s="2"/>
      <c r="S181" s="2" t="s">
        <v>541</v>
      </c>
      <c r="T181" s="4" t="n">
        <f aca="false">DATE(VALUE(MID(C181,7,4)),VALUE(MID(C181,4,2)),VALUE(MID(C181,1,2)))+TIME(VALUE(MID(C181,12,2)),VALUE(MID(C181,15,2)),0)</f>
        <v>43445.1013888889</v>
      </c>
      <c r="U181" s="2" t="str">
        <f aca="false">IF(AND(ISNUMBER(VALUE(MID(A181,7,1))),ISNUMBER(SEARCH("km",A181)),ISNUMBER(SEARCH("of",A181))),"Distance-location","Named-region")</f>
        <v>Named-region</v>
      </c>
      <c r="V181" s="2" t="str">
        <f aca="false">LOWER(M181)</f>
        <v>mww</v>
      </c>
      <c r="W181" s="5" t="str">
        <f aca="false">IF(COUNTIFS($A$2:$A$1001,A181,$C$2:$C$1001,C181)&gt;1,"Duplicate","Unique")</f>
        <v>Unique</v>
      </c>
    </row>
    <row r="182" customFormat="false" ht="15" hidden="false" customHeight="false" outlineLevel="0" collapsed="false">
      <c r="A182" s="2" t="s">
        <v>542</v>
      </c>
      <c r="B182" s="3" t="n">
        <v>6.6</v>
      </c>
      <c r="C182" s="2" t="s">
        <v>543</v>
      </c>
      <c r="D182" s="2" t="n">
        <v>0</v>
      </c>
      <c r="E182" s="2" t="n">
        <v>4</v>
      </c>
      <c r="F182" s="2" t="s">
        <v>25</v>
      </c>
      <c r="G182" s="2" t="n">
        <v>1</v>
      </c>
      <c r="H182" s="2" t="n">
        <v>670</v>
      </c>
      <c r="I182" s="2" t="s">
        <v>26</v>
      </c>
      <c r="J182" s="2" t="n">
        <v>0</v>
      </c>
      <c r="K182" s="2" t="n">
        <v>2.679</v>
      </c>
      <c r="L182" s="2" t="n">
        <v>31</v>
      </c>
      <c r="M182" s="2" t="s">
        <v>27</v>
      </c>
      <c r="N182" s="3" t="n">
        <v>10</v>
      </c>
      <c r="O182" s="3" t="n">
        <v>-22.0629</v>
      </c>
      <c r="P182" s="3" t="n">
        <v>169.733</v>
      </c>
      <c r="Q182" s="3" t="s">
        <v>215</v>
      </c>
      <c r="R182" s="2"/>
      <c r="S182" s="2"/>
      <c r="T182" s="4" t="n">
        <f aca="false">DATE(VALUE(MID(C182,7,4)),VALUE(MID(C182,4,2)),VALUE(MID(C182,1,2)))+TIME(VALUE(MID(C182,12,2)),VALUE(MID(C182,15,2)),0)</f>
        <v>43439.2798611111</v>
      </c>
      <c r="U182" s="2" t="str">
        <f aca="false">IF(AND(ISNUMBER(VALUE(MID(A182,7,1))),ISNUMBER(SEARCH("km",A182)),ISNUMBER(SEARCH("of",A182))),"Distance-location","Named-region")</f>
        <v>Named-region</v>
      </c>
      <c r="V182" s="2" t="str">
        <f aca="false">LOWER(M182)</f>
        <v>mww</v>
      </c>
      <c r="W182" s="5" t="str">
        <f aca="false">IF(COUNTIFS($A$2:$A$1001,A182,$C$2:$C$1001,C182)&gt;1,"Duplicate","Unique")</f>
        <v>Unique</v>
      </c>
    </row>
    <row r="183" customFormat="false" ht="15" hidden="false" customHeight="false" outlineLevel="0" collapsed="false">
      <c r="A183" s="2" t="s">
        <v>544</v>
      </c>
      <c r="B183" s="3" t="n">
        <v>7.5</v>
      </c>
      <c r="C183" s="2" t="s">
        <v>545</v>
      </c>
      <c r="D183" s="2" t="n">
        <v>3</v>
      </c>
      <c r="E183" s="2" t="n">
        <v>6</v>
      </c>
      <c r="F183" s="2" t="s">
        <v>25</v>
      </c>
      <c r="G183" s="2" t="n">
        <v>1</v>
      </c>
      <c r="H183" s="2" t="n">
        <v>871</v>
      </c>
      <c r="I183" s="2" t="s">
        <v>26</v>
      </c>
      <c r="J183" s="2" t="n">
        <v>0</v>
      </c>
      <c r="K183" s="2" t="n">
        <v>2.405</v>
      </c>
      <c r="L183" s="2" t="n">
        <v>18</v>
      </c>
      <c r="M183" s="2" t="s">
        <v>27</v>
      </c>
      <c r="N183" s="3" t="n">
        <v>10</v>
      </c>
      <c r="O183" s="3" t="n">
        <v>-21.9496</v>
      </c>
      <c r="P183" s="3" t="n">
        <v>169.427</v>
      </c>
      <c r="Q183" s="3" t="s">
        <v>215</v>
      </c>
      <c r="R183" s="2"/>
      <c r="S183" s="2"/>
      <c r="T183" s="4" t="n">
        <f aca="false">DATE(VALUE(MID(C183,7,4)),VALUE(MID(C183,4,2)),VALUE(MID(C183,1,2)))+TIME(VALUE(MID(C183,12,2)),VALUE(MID(C183,15,2)),0)</f>
        <v>43439.1791666667</v>
      </c>
      <c r="U183" s="2" t="str">
        <f aca="false">IF(AND(ISNUMBER(VALUE(MID(A183,7,1))),ISNUMBER(SEARCH("km",A183)),ISNUMBER(SEARCH("of",A183))),"Distance-location","Named-region")</f>
        <v>Named-region</v>
      </c>
      <c r="V183" s="2" t="str">
        <f aca="false">LOWER(M183)</f>
        <v>mww</v>
      </c>
      <c r="W183" s="5" t="str">
        <f aca="false">IF(COUNTIFS($A$2:$A$1001,A183,$C$2:$C$1001,C183)&gt;1,"Duplicate","Unique")</f>
        <v>Unique</v>
      </c>
    </row>
    <row r="184" customFormat="false" ht="15" hidden="false" customHeight="false" outlineLevel="0" collapsed="false">
      <c r="A184" s="2" t="s">
        <v>546</v>
      </c>
      <c r="B184" s="3" t="n">
        <v>7.1</v>
      </c>
      <c r="C184" s="2" t="s">
        <v>547</v>
      </c>
      <c r="D184" s="2" t="n">
        <v>8</v>
      </c>
      <c r="E184" s="2" t="n">
        <v>8</v>
      </c>
      <c r="F184" s="2" t="s">
        <v>99</v>
      </c>
      <c r="G184" s="2" t="n">
        <v>1</v>
      </c>
      <c r="H184" s="2" t="n">
        <v>1790</v>
      </c>
      <c r="I184" s="2" t="s">
        <v>263</v>
      </c>
      <c r="J184" s="2" t="n">
        <v>0</v>
      </c>
      <c r="K184" s="2" t="n">
        <v>0</v>
      </c>
      <c r="L184" s="2" t="n">
        <v>0</v>
      </c>
      <c r="M184" s="2" t="s">
        <v>489</v>
      </c>
      <c r="N184" s="3" t="n">
        <v>46.7</v>
      </c>
      <c r="O184" s="3" t="n">
        <v>61.3464</v>
      </c>
      <c r="P184" s="3" t="n">
        <v>-149.955</v>
      </c>
      <c r="Q184" s="3" t="s">
        <v>548</v>
      </c>
      <c r="R184" s="2" t="s">
        <v>168</v>
      </c>
      <c r="S184" s="2" t="s">
        <v>265</v>
      </c>
      <c r="T184" s="4" t="n">
        <f aca="false">DATE(VALUE(MID(C184,7,4)),VALUE(MID(C184,4,2)),VALUE(MID(C184,1,2)))+TIME(VALUE(MID(C184,12,2)),VALUE(MID(C184,15,2)),0)</f>
        <v>43434.7284722222</v>
      </c>
      <c r="U184" s="2" t="str">
        <f aca="false">IF(AND(ISNUMBER(VALUE(MID(A184,7,1))),ISNUMBER(SEARCH("km",A184)),ISNUMBER(SEARCH("of",A184))),"Distance-location","Named-region")</f>
        <v>Named-region</v>
      </c>
      <c r="V184" s="2" t="str">
        <f aca="false">LOWER(M184)</f>
        <v>mw</v>
      </c>
      <c r="W184" s="5" t="str">
        <f aca="false">IF(COUNTIFS($A$2:$A$1001,A184,$C$2:$C$1001,C184)&gt;1,"Duplicate","Unique")</f>
        <v>Unique</v>
      </c>
    </row>
    <row r="185" customFormat="false" ht="15" hidden="false" customHeight="false" outlineLevel="0" collapsed="false">
      <c r="A185" s="2" t="s">
        <v>549</v>
      </c>
      <c r="B185" s="3" t="n">
        <v>6.8</v>
      </c>
      <c r="C185" s="2" t="s">
        <v>550</v>
      </c>
      <c r="D185" s="2" t="n">
        <v>0</v>
      </c>
      <c r="E185" s="2" t="n">
        <v>3</v>
      </c>
      <c r="F185" s="2" t="s">
        <v>25</v>
      </c>
      <c r="G185" s="2" t="n">
        <v>1</v>
      </c>
      <c r="H185" s="2" t="n">
        <v>711</v>
      </c>
      <c r="I185" s="2" t="s">
        <v>26</v>
      </c>
      <c r="J185" s="2" t="n">
        <v>0</v>
      </c>
      <c r="K185" s="2" t="n">
        <v>2.879</v>
      </c>
      <c r="L185" s="2" t="n">
        <v>39</v>
      </c>
      <c r="M185" s="2" t="s">
        <v>27</v>
      </c>
      <c r="N185" s="3" t="n">
        <v>540</v>
      </c>
      <c r="O185" s="3" t="n">
        <v>-17.8735</v>
      </c>
      <c r="P185" s="3" t="n">
        <v>-178.927</v>
      </c>
      <c r="Q185" s="3" t="s">
        <v>551</v>
      </c>
      <c r="R185" s="2"/>
      <c r="S185" s="2" t="s">
        <v>150</v>
      </c>
      <c r="T185" s="4" t="n">
        <f aca="false">DATE(VALUE(MID(C185,7,4)),VALUE(MID(C185,4,2)),VALUE(MID(C185,1,2)))+TIME(VALUE(MID(C185,12,2)),VALUE(MID(C185,15,2)),0)</f>
        <v>43422.8506944444</v>
      </c>
      <c r="U185" s="2" t="str">
        <f aca="false">IF(AND(ISNUMBER(VALUE(MID(A185,7,1))),ISNUMBER(SEARCH("km",A185)),ISNUMBER(SEARCH("of",A185))),"Distance-location","Named-region")</f>
        <v>Named-region</v>
      </c>
      <c r="V185" s="2" t="str">
        <f aca="false">LOWER(M185)</f>
        <v>mww</v>
      </c>
      <c r="W185" s="5" t="str">
        <f aca="false">IF(COUNTIFS($A$2:$A$1001,A185,$C$2:$C$1001,C185)&gt;1,"Duplicate","Unique")</f>
        <v>Unique</v>
      </c>
    </row>
    <row r="186" customFormat="false" ht="28.35" hidden="false" customHeight="false" outlineLevel="0" collapsed="false">
      <c r="A186" s="2" t="s">
        <v>552</v>
      </c>
      <c r="B186" s="3" t="n">
        <v>6.7</v>
      </c>
      <c r="C186" s="2" t="s">
        <v>553</v>
      </c>
      <c r="D186" s="2" t="n">
        <v>3</v>
      </c>
      <c r="E186" s="2" t="n">
        <v>4</v>
      </c>
      <c r="F186" s="2" t="s">
        <v>25</v>
      </c>
      <c r="G186" s="2" t="n">
        <v>1</v>
      </c>
      <c r="H186" s="2" t="n">
        <v>693</v>
      </c>
      <c r="I186" s="2" t="s">
        <v>26</v>
      </c>
      <c r="J186" s="2" t="n">
        <v>0</v>
      </c>
      <c r="K186" s="2" t="n">
        <v>7.853</v>
      </c>
      <c r="L186" s="2" t="n">
        <v>19</v>
      </c>
      <c r="M186" s="2" t="s">
        <v>27</v>
      </c>
      <c r="N186" s="3" t="n">
        <v>10</v>
      </c>
      <c r="O186" s="3" t="n">
        <v>71.6312</v>
      </c>
      <c r="P186" s="3" t="n">
        <v>-11.2431</v>
      </c>
      <c r="Q186" s="3" t="s">
        <v>554</v>
      </c>
      <c r="R186" s="2"/>
      <c r="S186" s="2"/>
      <c r="T186" s="4" t="n">
        <f aca="false">DATE(VALUE(MID(C186,7,4)),VALUE(MID(C186,4,2)),VALUE(MID(C186,1,2)))+TIME(VALUE(MID(C186,12,2)),VALUE(MID(C186,15,2)),0)</f>
        <v>43413.0756944444</v>
      </c>
      <c r="U186" s="2" t="str">
        <f aca="false">IF(AND(ISNUMBER(VALUE(MID(A186,7,1))),ISNUMBER(SEARCH("km",A186)),ISNUMBER(SEARCH("of",A186))),"Distance-location","Named-region")</f>
        <v>Named-region</v>
      </c>
      <c r="V186" s="2" t="str">
        <f aca="false">LOWER(M186)</f>
        <v>mww</v>
      </c>
      <c r="W186" s="5" t="str">
        <f aca="false">IF(COUNTIFS($A$2:$A$1001,A186,$C$2:$C$1001,C186)&gt;1,"Duplicate","Unique")</f>
        <v>Unique</v>
      </c>
    </row>
    <row r="187" customFormat="false" ht="15" hidden="false" customHeight="false" outlineLevel="0" collapsed="false">
      <c r="A187" s="2" t="s">
        <v>555</v>
      </c>
      <c r="B187" s="3" t="n">
        <v>6.8</v>
      </c>
      <c r="C187" s="2" t="s">
        <v>556</v>
      </c>
      <c r="D187" s="2" t="n">
        <v>8</v>
      </c>
      <c r="E187" s="2" t="n">
        <v>7</v>
      </c>
      <c r="F187" s="2" t="s">
        <v>32</v>
      </c>
      <c r="G187" s="2" t="n">
        <v>0</v>
      </c>
      <c r="H187" s="2" t="n">
        <v>954</v>
      </c>
      <c r="I187" s="2" t="s">
        <v>26</v>
      </c>
      <c r="J187" s="2" t="n">
        <v>0</v>
      </c>
      <c r="K187" s="2" t="n">
        <v>2.268</v>
      </c>
      <c r="L187" s="2" t="n">
        <v>15</v>
      </c>
      <c r="M187" s="2" t="s">
        <v>27</v>
      </c>
      <c r="N187" s="3" t="n">
        <v>14</v>
      </c>
      <c r="O187" s="3" t="n">
        <v>37.5203</v>
      </c>
      <c r="P187" s="3" t="n">
        <v>20.5565</v>
      </c>
      <c r="Q187" s="3" t="s">
        <v>557</v>
      </c>
      <c r="R187" s="2" t="s">
        <v>365</v>
      </c>
      <c r="S187" s="2"/>
      <c r="T187" s="4" t="n">
        <f aca="false">DATE(VALUE(MID(C187,7,4)),VALUE(MID(C187,4,2)),VALUE(MID(C187,1,2)))+TIME(VALUE(MID(C187,12,2)),VALUE(MID(C187,15,2)),0)</f>
        <v>43398.9541666667</v>
      </c>
      <c r="U187" s="2" t="str">
        <f aca="false">IF(AND(ISNUMBER(VALUE(MID(A187,7,1))),ISNUMBER(SEARCH("km",A187)),ISNUMBER(SEARCH("of",A187))),"Distance-location","Named-region")</f>
        <v>Named-region</v>
      </c>
      <c r="V187" s="2" t="str">
        <f aca="false">LOWER(M187)</f>
        <v>mww</v>
      </c>
      <c r="W187" s="5" t="str">
        <f aca="false">IF(COUNTIFS($A$2:$A$1001,A187,$C$2:$C$1001,C187)&gt;1,"Duplicate","Unique")</f>
        <v>Unique</v>
      </c>
    </row>
    <row r="188" customFormat="false" ht="15" hidden="false" customHeight="false" outlineLevel="0" collapsed="false">
      <c r="A188" s="2" t="s">
        <v>558</v>
      </c>
      <c r="B188" s="3" t="n">
        <v>6.5</v>
      </c>
      <c r="C188" s="2" t="s">
        <v>559</v>
      </c>
      <c r="D188" s="2" t="n">
        <v>2</v>
      </c>
      <c r="E188" s="2" t="n">
        <v>4</v>
      </c>
      <c r="F188" s="2" t="s">
        <v>25</v>
      </c>
      <c r="G188" s="2" t="n">
        <v>0</v>
      </c>
      <c r="H188" s="2" t="n">
        <v>655</v>
      </c>
      <c r="I188" s="2" t="s">
        <v>26</v>
      </c>
      <c r="J188" s="2" t="n">
        <v>0</v>
      </c>
      <c r="K188" s="2" t="n">
        <v>1.692</v>
      </c>
      <c r="L188" s="2" t="n">
        <v>68</v>
      </c>
      <c r="M188" s="2" t="s">
        <v>27</v>
      </c>
      <c r="N188" s="3" t="n">
        <v>10</v>
      </c>
      <c r="O188" s="3" t="n">
        <v>49.297</v>
      </c>
      <c r="P188" s="3" t="n">
        <v>-129.724</v>
      </c>
      <c r="Q188" s="3" t="s">
        <v>560</v>
      </c>
      <c r="R188" s="2"/>
      <c r="S188" s="2"/>
      <c r="T188" s="4" t="n">
        <f aca="false">DATE(VALUE(MID(C188,7,4)),VALUE(MID(C188,4,2)),VALUE(MID(C188,1,2)))+TIME(VALUE(MID(C188,12,2)),VALUE(MID(C188,15,2)),0)</f>
        <v>43395.2652777778</v>
      </c>
      <c r="U188" s="2" t="str">
        <f aca="false">IF(AND(ISNUMBER(VALUE(MID(A188,7,1))),ISNUMBER(SEARCH("km",A188)),ISNUMBER(SEARCH("of",A188))),"Distance-location","Named-region")</f>
        <v>Named-region</v>
      </c>
      <c r="V188" s="2" t="str">
        <f aca="false">LOWER(M188)</f>
        <v>mww</v>
      </c>
      <c r="W188" s="5" t="str">
        <f aca="false">IF(COUNTIFS($A$2:$A$1001,A188,$C$2:$C$1001,C188)&gt;1,"Duplicate","Unique")</f>
        <v>Unique</v>
      </c>
    </row>
    <row r="189" customFormat="false" ht="15" hidden="false" customHeight="false" outlineLevel="0" collapsed="false">
      <c r="A189" s="2" t="s">
        <v>561</v>
      </c>
      <c r="B189" s="3" t="n">
        <v>6.8</v>
      </c>
      <c r="C189" s="2" t="s">
        <v>562</v>
      </c>
      <c r="D189" s="2" t="n">
        <v>4</v>
      </c>
      <c r="E189" s="2" t="n">
        <v>4</v>
      </c>
      <c r="F189" s="2" t="s">
        <v>25</v>
      </c>
      <c r="G189" s="2" t="n">
        <v>1</v>
      </c>
      <c r="H189" s="2" t="n">
        <v>776</v>
      </c>
      <c r="I189" s="2" t="s">
        <v>26</v>
      </c>
      <c r="J189" s="2" t="n">
        <v>0</v>
      </c>
      <c r="K189" s="2" t="n">
        <v>1.505</v>
      </c>
      <c r="L189" s="2" t="n">
        <v>36</v>
      </c>
      <c r="M189" s="2" t="s">
        <v>27</v>
      </c>
      <c r="N189" s="3" t="n">
        <v>10</v>
      </c>
      <c r="O189" s="3" t="n">
        <v>49.3346</v>
      </c>
      <c r="P189" s="3" t="n">
        <v>-129.289</v>
      </c>
      <c r="Q189" s="3" t="s">
        <v>560</v>
      </c>
      <c r="R189" s="2"/>
      <c r="S189" s="2"/>
      <c r="T189" s="4" t="n">
        <f aca="false">DATE(VALUE(MID(C189,7,4)),VALUE(MID(C189,4,2)),VALUE(MID(C189,1,2)))+TIME(VALUE(MID(C189,12,2)),VALUE(MID(C189,15,2)),0)</f>
        <v>43395.2611111111</v>
      </c>
      <c r="U189" s="2" t="str">
        <f aca="false">IF(AND(ISNUMBER(VALUE(MID(A189,7,1))),ISNUMBER(SEARCH("km",A189)),ISNUMBER(SEARCH("of",A189))),"Distance-location","Named-region")</f>
        <v>Named-region</v>
      </c>
      <c r="V189" s="2" t="str">
        <f aca="false">LOWER(M189)</f>
        <v>mww</v>
      </c>
      <c r="W189" s="5" t="str">
        <f aca="false">IF(COUNTIFS($A$2:$A$1001,A189,$C$2:$C$1001,C189)&gt;1,"Duplicate","Unique")</f>
        <v>Unique</v>
      </c>
    </row>
    <row r="190" customFormat="false" ht="15" hidden="false" customHeight="false" outlineLevel="0" collapsed="false">
      <c r="A190" s="2" t="s">
        <v>563</v>
      </c>
      <c r="B190" s="3" t="n">
        <v>6.5</v>
      </c>
      <c r="C190" s="2" t="s">
        <v>564</v>
      </c>
      <c r="D190" s="2" t="n">
        <v>3</v>
      </c>
      <c r="E190" s="2" t="n">
        <v>4</v>
      </c>
      <c r="F190" s="2" t="s">
        <v>25</v>
      </c>
      <c r="G190" s="2" t="n">
        <v>1</v>
      </c>
      <c r="H190" s="2" t="n">
        <v>669</v>
      </c>
      <c r="I190" s="2" t="s">
        <v>26</v>
      </c>
      <c r="J190" s="2" t="n">
        <v>0</v>
      </c>
      <c r="K190" s="2" t="n">
        <v>1.611</v>
      </c>
      <c r="L190" s="2" t="n">
        <v>63</v>
      </c>
      <c r="M190" s="2" t="s">
        <v>27</v>
      </c>
      <c r="N190" s="3" t="n">
        <v>10</v>
      </c>
      <c r="O190" s="3" t="n">
        <v>49.2586</v>
      </c>
      <c r="P190" s="3" t="n">
        <v>-129.412</v>
      </c>
      <c r="Q190" s="3" t="s">
        <v>560</v>
      </c>
      <c r="R190" s="2"/>
      <c r="S190" s="2"/>
      <c r="T190" s="4" t="n">
        <f aca="false">DATE(VALUE(MID(C190,7,4)),VALUE(MID(C190,4,2)),VALUE(MID(C190,1,2)))+TIME(VALUE(MID(C190,12,2)),VALUE(MID(C190,15,2)),0)</f>
        <v>43395.2354166667</v>
      </c>
      <c r="U190" s="2" t="str">
        <f aca="false">IF(AND(ISNUMBER(VALUE(MID(A190,7,1))),ISNUMBER(SEARCH("km",A190)),ISNUMBER(SEARCH("of",A190))),"Distance-location","Named-region")</f>
        <v>Named-region</v>
      </c>
      <c r="V190" s="2" t="str">
        <f aca="false">LOWER(M190)</f>
        <v>mww</v>
      </c>
      <c r="W190" s="5" t="str">
        <f aca="false">IF(COUNTIFS($A$2:$A$1001,A190,$C$2:$C$1001,C190)&gt;1,"Duplicate","Unique")</f>
        <v>Unique</v>
      </c>
    </row>
    <row r="191" customFormat="false" ht="15" hidden="false" customHeight="false" outlineLevel="0" collapsed="false">
      <c r="A191" s="2" t="s">
        <v>565</v>
      </c>
      <c r="B191" s="3" t="n">
        <v>6.5</v>
      </c>
      <c r="C191" s="2" t="s">
        <v>566</v>
      </c>
      <c r="D191" s="2" t="n">
        <v>0</v>
      </c>
      <c r="E191" s="2" t="n">
        <v>4</v>
      </c>
      <c r="F191" s="2" t="s">
        <v>25</v>
      </c>
      <c r="G191" s="2" t="n">
        <v>1</v>
      </c>
      <c r="H191" s="2" t="n">
        <v>650</v>
      </c>
      <c r="I191" s="2" t="s">
        <v>26</v>
      </c>
      <c r="J191" s="2" t="n">
        <v>0</v>
      </c>
      <c r="K191" s="2" t="n">
        <v>2.109</v>
      </c>
      <c r="L191" s="2" t="n">
        <v>22</v>
      </c>
      <c r="M191" s="2" t="s">
        <v>27</v>
      </c>
      <c r="N191" s="3" t="n">
        <v>17</v>
      </c>
      <c r="O191" s="3" t="n">
        <v>-21.7427</v>
      </c>
      <c r="P191" s="3" t="n">
        <v>169.522</v>
      </c>
      <c r="Q191" s="3" t="s">
        <v>215</v>
      </c>
      <c r="R191" s="2"/>
      <c r="S191" s="2"/>
      <c r="T191" s="4" t="n">
        <f aca="false">DATE(VALUE(MID(C191,7,4)),VALUE(MID(C191,4,2)),VALUE(MID(C191,1,2)))+TIME(VALUE(MID(C191,12,2)),VALUE(MID(C191,15,2)),0)</f>
        <v>43389.04375</v>
      </c>
      <c r="U191" s="2" t="str">
        <f aca="false">IF(AND(ISNUMBER(VALUE(MID(A191,7,1))),ISNUMBER(SEARCH("km",A191)),ISNUMBER(SEARCH("of",A191))),"Distance-location","Named-region")</f>
        <v>Named-region</v>
      </c>
      <c r="V191" s="2" t="str">
        <f aca="false">LOWER(M191)</f>
        <v>mww</v>
      </c>
      <c r="W191" s="5" t="str">
        <f aca="false">IF(COUNTIFS($A$2:$A$1001,A191,$C$2:$C$1001,C191)&gt;1,"Duplicate","Unique")</f>
        <v>Unique</v>
      </c>
    </row>
    <row r="192" customFormat="false" ht="15" hidden="false" customHeight="false" outlineLevel="0" collapsed="false">
      <c r="A192" s="2" t="s">
        <v>567</v>
      </c>
      <c r="B192" s="3" t="n">
        <v>6.7</v>
      </c>
      <c r="C192" s="2" t="s">
        <v>568</v>
      </c>
      <c r="D192" s="2" t="n">
        <v>0</v>
      </c>
      <c r="E192" s="2" t="n">
        <v>3</v>
      </c>
      <c r="F192" s="2" t="s">
        <v>25</v>
      </c>
      <c r="G192" s="2" t="n">
        <v>1</v>
      </c>
      <c r="H192" s="2" t="n">
        <v>691</v>
      </c>
      <c r="I192" s="2" t="s">
        <v>26</v>
      </c>
      <c r="J192" s="2" t="n">
        <v>0</v>
      </c>
      <c r="K192" s="2" t="n">
        <v>2.705</v>
      </c>
      <c r="L192" s="2" t="n">
        <v>17</v>
      </c>
      <c r="M192" s="2" t="s">
        <v>27</v>
      </c>
      <c r="N192" s="3" t="n">
        <v>461</v>
      </c>
      <c r="O192" s="3" t="n">
        <v>52.8549</v>
      </c>
      <c r="P192" s="3" t="n">
        <v>153.243</v>
      </c>
      <c r="Q192" s="3" t="s">
        <v>569</v>
      </c>
      <c r="R192" s="2"/>
      <c r="S192" s="2"/>
      <c r="T192" s="4" t="n">
        <f aca="false">DATE(VALUE(MID(C192,7,4)),VALUE(MID(C192,4,2)),VALUE(MID(C192,1,2)))+TIME(VALUE(MID(C192,12,2)),VALUE(MID(C192,15,2)),0)</f>
        <v>43386.4652777778</v>
      </c>
      <c r="U192" s="2" t="str">
        <f aca="false">IF(AND(ISNUMBER(VALUE(MID(A192,7,1))),ISNUMBER(SEARCH("km",A192)),ISNUMBER(SEARCH("of",A192))),"Distance-location","Named-region")</f>
        <v>Named-region</v>
      </c>
      <c r="V192" s="2" t="str">
        <f aca="false">LOWER(M192)</f>
        <v>mww</v>
      </c>
      <c r="W192" s="5" t="str">
        <f aca="false">IF(COUNTIFS($A$2:$A$1001,A192,$C$2:$C$1001,C192)&gt;1,"Duplicate","Unique")</f>
        <v>Unique</v>
      </c>
    </row>
    <row r="193" customFormat="false" ht="15" hidden="false" customHeight="false" outlineLevel="0" collapsed="false">
      <c r="A193" s="2" t="s">
        <v>570</v>
      </c>
      <c r="B193" s="3" t="n">
        <v>6.5</v>
      </c>
      <c r="C193" s="2" t="s">
        <v>571</v>
      </c>
      <c r="D193" s="2" t="n">
        <v>0</v>
      </c>
      <c r="E193" s="2" t="n">
        <v>4</v>
      </c>
      <c r="F193" s="2" t="s">
        <v>25</v>
      </c>
      <c r="G193" s="2" t="n">
        <v>1</v>
      </c>
      <c r="H193" s="2" t="n">
        <v>650</v>
      </c>
      <c r="I193" s="2" t="s">
        <v>26</v>
      </c>
      <c r="J193" s="2" t="n">
        <v>0</v>
      </c>
      <c r="K193" s="2" t="n">
        <v>3.923</v>
      </c>
      <c r="L193" s="2" t="n">
        <v>14</v>
      </c>
      <c r="M193" s="2" t="s">
        <v>27</v>
      </c>
      <c r="N193" s="3" t="n">
        <v>20</v>
      </c>
      <c r="O193" s="3" t="n">
        <v>49.2902</v>
      </c>
      <c r="P193" s="3" t="n">
        <v>156.297</v>
      </c>
      <c r="Q193" s="3" t="s">
        <v>428</v>
      </c>
      <c r="R193" s="2"/>
      <c r="S193" s="2"/>
      <c r="T193" s="4" t="n">
        <f aca="false">DATE(VALUE(MID(C193,7,4)),VALUE(MID(C193,4,2)),VALUE(MID(C193,1,2)))+TIME(VALUE(MID(C193,12,2)),VALUE(MID(C193,15,2)),0)</f>
        <v>43383.9694444445</v>
      </c>
      <c r="U193" s="2" t="str">
        <f aca="false">IF(AND(ISNUMBER(VALUE(MID(A193,7,1))),ISNUMBER(SEARCH("km",A193)),ISNUMBER(SEARCH("of",A193))),"Distance-location","Named-region")</f>
        <v>Named-region</v>
      </c>
      <c r="V193" s="2" t="str">
        <f aca="false">LOWER(M193)</f>
        <v>mww</v>
      </c>
      <c r="W193" s="5" t="str">
        <f aca="false">IF(COUNTIFS($A$2:$A$1001,A193,$C$2:$C$1001,C193)&gt;1,"Duplicate","Unique")</f>
        <v>Unique</v>
      </c>
    </row>
    <row r="194" customFormat="false" ht="15" hidden="false" customHeight="false" outlineLevel="0" collapsed="false">
      <c r="A194" s="2" t="s">
        <v>572</v>
      </c>
      <c r="B194" s="3" t="n">
        <v>7</v>
      </c>
      <c r="C194" s="2" t="s">
        <v>573</v>
      </c>
      <c r="D194" s="2" t="n">
        <v>6</v>
      </c>
      <c r="E194" s="2" t="n">
        <v>6</v>
      </c>
      <c r="F194" s="2" t="s">
        <v>25</v>
      </c>
      <c r="G194" s="2" t="n">
        <v>1</v>
      </c>
      <c r="H194" s="2" t="n">
        <v>758</v>
      </c>
      <c r="I194" s="2" t="s">
        <v>26</v>
      </c>
      <c r="J194" s="2" t="n">
        <v>0</v>
      </c>
      <c r="K194" s="2" t="n">
        <v>1.778</v>
      </c>
      <c r="L194" s="2" t="n">
        <v>18</v>
      </c>
      <c r="M194" s="2" t="s">
        <v>27</v>
      </c>
      <c r="N194" s="3" t="n">
        <v>39</v>
      </c>
      <c r="O194" s="3" t="n">
        <v>-5.7012</v>
      </c>
      <c r="P194" s="3" t="n">
        <v>151.205</v>
      </c>
      <c r="Q194" s="3" t="s">
        <v>111</v>
      </c>
      <c r="R194" s="2"/>
      <c r="S194" s="2" t="s">
        <v>89</v>
      </c>
      <c r="T194" s="4" t="n">
        <f aca="false">DATE(VALUE(MID(C194,7,4)),VALUE(MID(C194,4,2)),VALUE(MID(C194,1,2)))+TIME(VALUE(MID(C194,12,2)),VALUE(MID(C194,15,2)),0)</f>
        <v>43383.8666666667</v>
      </c>
      <c r="U194" s="2" t="str">
        <f aca="false">IF(AND(ISNUMBER(VALUE(MID(A194,7,1))),ISNUMBER(SEARCH("km",A194)),ISNUMBER(SEARCH("of",A194))),"Distance-location","Named-region")</f>
        <v>Named-region</v>
      </c>
      <c r="V194" s="2" t="str">
        <f aca="false">LOWER(M194)</f>
        <v>mww</v>
      </c>
      <c r="W194" s="5" t="str">
        <f aca="false">IF(COUNTIFS($A$2:$A$1001,A194,$C$2:$C$1001,C194)&gt;1,"Duplicate","Unique")</f>
        <v>Unique</v>
      </c>
    </row>
    <row r="195" customFormat="false" ht="15" hidden="false" customHeight="false" outlineLevel="0" collapsed="false">
      <c r="A195" s="2" t="s">
        <v>574</v>
      </c>
      <c r="B195" s="3" t="n">
        <v>6.7</v>
      </c>
      <c r="C195" s="2" t="s">
        <v>575</v>
      </c>
      <c r="D195" s="2" t="n">
        <v>2</v>
      </c>
      <c r="E195" s="2" t="n">
        <v>3</v>
      </c>
      <c r="F195" s="2" t="s">
        <v>25</v>
      </c>
      <c r="G195" s="2" t="n">
        <v>1</v>
      </c>
      <c r="H195" s="2" t="n">
        <v>691</v>
      </c>
      <c r="I195" s="2" t="s">
        <v>26</v>
      </c>
      <c r="J195" s="2" t="n">
        <v>0</v>
      </c>
      <c r="K195" s="2" t="n">
        <v>3.745</v>
      </c>
      <c r="L195" s="2" t="n">
        <v>23</v>
      </c>
      <c r="M195" s="2" t="s">
        <v>27</v>
      </c>
      <c r="N195" s="3" t="n">
        <v>550</v>
      </c>
      <c r="O195" s="3" t="n">
        <v>-18.3604</v>
      </c>
      <c r="P195" s="3" t="n">
        <v>-178.063</v>
      </c>
      <c r="Q195" s="3" t="s">
        <v>551</v>
      </c>
      <c r="R195" s="2"/>
      <c r="S195" s="2" t="s">
        <v>150</v>
      </c>
      <c r="T195" s="4" t="n">
        <f aca="false">DATE(VALUE(MID(C195,7,4)),VALUE(MID(C195,4,2)),VALUE(MID(C195,1,2)))+TIME(VALUE(MID(C195,12,2)),VALUE(MID(C195,15,2)),0)</f>
        <v>43373.4527777778</v>
      </c>
      <c r="U195" s="2" t="str">
        <f aca="false">IF(AND(ISNUMBER(VALUE(MID(A195,7,1))),ISNUMBER(SEARCH("km",A195)),ISNUMBER(SEARCH("of",A195))),"Distance-location","Named-region")</f>
        <v>Named-region</v>
      </c>
      <c r="V195" s="2" t="str">
        <f aca="false">LOWER(M195)</f>
        <v>mww</v>
      </c>
      <c r="W195" s="5" t="str">
        <f aca="false">IF(COUNTIFS($A$2:$A$1001,A195,$C$2:$C$1001,C195)&gt;1,"Duplicate","Unique")</f>
        <v>Unique</v>
      </c>
    </row>
    <row r="196" customFormat="false" ht="15" hidden="false" customHeight="false" outlineLevel="0" collapsed="false">
      <c r="A196" s="2" t="s">
        <v>576</v>
      </c>
      <c r="B196" s="3" t="n">
        <v>7.5</v>
      </c>
      <c r="C196" s="2" t="s">
        <v>577</v>
      </c>
      <c r="D196" s="2" t="n">
        <v>8</v>
      </c>
      <c r="E196" s="2" t="n">
        <v>8</v>
      </c>
      <c r="F196" s="2" t="s">
        <v>125</v>
      </c>
      <c r="G196" s="2" t="n">
        <v>0</v>
      </c>
      <c r="H196" s="2" t="n">
        <v>2026</v>
      </c>
      <c r="I196" s="2" t="s">
        <v>26</v>
      </c>
      <c r="J196" s="2" t="n">
        <v>0</v>
      </c>
      <c r="K196" s="2" t="n">
        <v>1.649</v>
      </c>
      <c r="L196" s="2" t="n">
        <v>13</v>
      </c>
      <c r="M196" s="2" t="s">
        <v>27</v>
      </c>
      <c r="N196" s="3" t="n">
        <v>20</v>
      </c>
      <c r="O196" s="3" t="n">
        <v>-0.2559</v>
      </c>
      <c r="P196" s="3" t="n">
        <v>119.846</v>
      </c>
      <c r="Q196" s="3" t="s">
        <v>578</v>
      </c>
      <c r="R196" s="2"/>
      <c r="S196" s="2" t="s">
        <v>72</v>
      </c>
      <c r="T196" s="4" t="n">
        <f aca="false">DATE(VALUE(MID(C196,7,4)),VALUE(MID(C196,4,2)),VALUE(MID(C196,1,2)))+TIME(VALUE(MID(C196,12,2)),VALUE(MID(C196,15,2)),0)</f>
        <v>43371.4180555556</v>
      </c>
      <c r="U196" s="2" t="str">
        <f aca="false">IF(AND(ISNUMBER(VALUE(MID(A196,7,1))),ISNUMBER(SEARCH("km",A196)),ISNUMBER(SEARCH("of",A196))),"Distance-location","Named-region")</f>
        <v>Named-region</v>
      </c>
      <c r="V196" s="2" t="str">
        <f aca="false">LOWER(M196)</f>
        <v>mww</v>
      </c>
      <c r="W196" s="5" t="str">
        <f aca="false">IF(COUNTIFS($A$2:$A$1001,A196,$C$2:$C$1001,C196)&gt;1,"Duplicate","Unique")</f>
        <v>Unique</v>
      </c>
    </row>
    <row r="197" customFormat="false" ht="15" hidden="false" customHeight="false" outlineLevel="0" collapsed="false">
      <c r="A197" s="2" t="s">
        <v>579</v>
      </c>
      <c r="B197" s="3" t="n">
        <v>6.5</v>
      </c>
      <c r="C197" s="2" t="s">
        <v>580</v>
      </c>
      <c r="D197" s="2" t="n">
        <v>4</v>
      </c>
      <c r="E197" s="2" t="n">
        <v>1</v>
      </c>
      <c r="F197" s="2" t="s">
        <v>25</v>
      </c>
      <c r="G197" s="2" t="n">
        <v>0</v>
      </c>
      <c r="H197" s="2" t="n">
        <v>651</v>
      </c>
      <c r="I197" s="2" t="s">
        <v>26</v>
      </c>
      <c r="J197" s="2" t="n">
        <v>0</v>
      </c>
      <c r="K197" s="2" t="n">
        <v>5.139</v>
      </c>
      <c r="L197" s="2" t="n">
        <v>18</v>
      </c>
      <c r="M197" s="2" t="s">
        <v>27</v>
      </c>
      <c r="N197" s="3" t="n">
        <v>576</v>
      </c>
      <c r="O197" s="3" t="n">
        <v>-25.415</v>
      </c>
      <c r="P197" s="3" t="n">
        <v>178.199</v>
      </c>
      <c r="Q197" s="3" t="s">
        <v>54</v>
      </c>
      <c r="R197" s="2"/>
      <c r="S197" s="2"/>
      <c r="T197" s="4" t="n">
        <f aca="false">DATE(VALUE(MID(C197,7,4)),VALUE(MID(C197,4,2)),VALUE(MID(C197,1,2)))+TIME(VALUE(MID(C197,12,2)),VALUE(MID(C197,15,2)),0)</f>
        <v>43359.8826388889</v>
      </c>
      <c r="U197" s="2" t="str">
        <f aca="false">IF(AND(ISNUMBER(VALUE(MID(A197,7,1))),ISNUMBER(SEARCH("km",A197)),ISNUMBER(SEARCH("of",A197))),"Distance-location","Named-region")</f>
        <v>Named-region</v>
      </c>
      <c r="V197" s="2" t="str">
        <f aca="false">LOWER(M197)</f>
        <v>mww</v>
      </c>
      <c r="W197" s="5" t="str">
        <f aca="false">IF(COUNTIFS($A$2:$A$1001,A197,$C$2:$C$1001,C197)&gt;1,"Duplicate","Unique")</f>
        <v>Unique</v>
      </c>
    </row>
    <row r="198" customFormat="false" ht="15" hidden="false" customHeight="false" outlineLevel="0" collapsed="false">
      <c r="A198" s="2" t="s">
        <v>581</v>
      </c>
      <c r="B198" s="3" t="n">
        <v>6.9</v>
      </c>
      <c r="C198" s="2" t="s">
        <v>582</v>
      </c>
      <c r="D198" s="2" t="n">
        <v>3</v>
      </c>
      <c r="E198" s="2" t="n">
        <v>4</v>
      </c>
      <c r="F198" s="2" t="s">
        <v>25</v>
      </c>
      <c r="G198" s="2" t="n">
        <v>0</v>
      </c>
      <c r="H198" s="2" t="n">
        <v>735</v>
      </c>
      <c r="I198" s="2" t="s">
        <v>26</v>
      </c>
      <c r="J198" s="2" t="n">
        <v>0</v>
      </c>
      <c r="K198" s="2" t="n">
        <v>2.785</v>
      </c>
      <c r="L198" s="2" t="n">
        <v>18</v>
      </c>
      <c r="M198" s="2" t="s">
        <v>27</v>
      </c>
      <c r="N198" s="3" t="n">
        <v>115</v>
      </c>
      <c r="O198" s="3" t="n">
        <v>-31.7447</v>
      </c>
      <c r="P198" s="3" t="n">
        <v>-179.373</v>
      </c>
      <c r="Q198" s="3" t="s">
        <v>103</v>
      </c>
      <c r="R198" s="2"/>
      <c r="S198" s="2"/>
      <c r="T198" s="4" t="n">
        <f aca="false">DATE(VALUE(MID(C198,7,4)),VALUE(MID(C198,4,2)),VALUE(MID(C198,1,2)))+TIME(VALUE(MID(C198,12,2)),VALUE(MID(C198,15,2)),0)</f>
        <v>43353.1798611111</v>
      </c>
      <c r="U198" s="2" t="str">
        <f aca="false">IF(AND(ISNUMBER(VALUE(MID(A198,7,1))),ISNUMBER(SEARCH("km",A198)),ISNUMBER(SEARCH("of",A198))),"Distance-location","Named-region")</f>
        <v>Named-region</v>
      </c>
      <c r="V198" s="2" t="str">
        <f aca="false">LOWER(M198)</f>
        <v>mww</v>
      </c>
      <c r="W198" s="5" t="str">
        <f aca="false">IF(COUNTIFS($A$2:$A$1001,A198,$C$2:$C$1001,C198)&gt;1,"Duplicate","Unique")</f>
        <v>Unique</v>
      </c>
    </row>
    <row r="199" customFormat="false" ht="15" hidden="false" customHeight="false" outlineLevel="0" collapsed="false">
      <c r="A199" s="2" t="s">
        <v>583</v>
      </c>
      <c r="B199" s="3" t="n">
        <v>6.5</v>
      </c>
      <c r="C199" s="2" t="s">
        <v>584</v>
      </c>
      <c r="D199" s="2" t="n">
        <v>3</v>
      </c>
      <c r="E199" s="2" t="n">
        <v>6</v>
      </c>
      <c r="F199" s="2" t="s">
        <v>25</v>
      </c>
      <c r="G199" s="2" t="n">
        <v>1</v>
      </c>
      <c r="H199" s="2" t="n">
        <v>651</v>
      </c>
      <c r="I199" s="2" t="s">
        <v>26</v>
      </c>
      <c r="J199" s="2" t="n">
        <v>0</v>
      </c>
      <c r="K199" s="2" t="n">
        <v>1.638</v>
      </c>
      <c r="L199" s="2" t="n">
        <v>25</v>
      </c>
      <c r="M199" s="2" t="s">
        <v>27</v>
      </c>
      <c r="N199" s="3" t="n">
        <v>68</v>
      </c>
      <c r="O199" s="3" t="n">
        <v>-10.0207</v>
      </c>
      <c r="P199" s="3" t="n">
        <v>161.503</v>
      </c>
      <c r="Q199" s="3" t="s">
        <v>585</v>
      </c>
      <c r="R199" s="2"/>
      <c r="S199" s="2" t="s">
        <v>144</v>
      </c>
      <c r="T199" s="4" t="n">
        <f aca="false">DATE(VALUE(MID(C199,7,4)),VALUE(MID(C199,4,2)),VALUE(MID(C199,1,2)))+TIME(VALUE(MID(C199,12,2)),VALUE(MID(C199,15,2)),0)</f>
        <v>43352.8131944445</v>
      </c>
      <c r="U199" s="2" t="str">
        <f aca="false">IF(AND(ISNUMBER(VALUE(MID(A199,7,1))),ISNUMBER(SEARCH("km",A199)),ISNUMBER(SEARCH("of",A199))),"Distance-location","Named-region")</f>
        <v>Named-region</v>
      </c>
      <c r="V199" s="2" t="str">
        <f aca="false">LOWER(M199)</f>
        <v>mww</v>
      </c>
      <c r="W199" s="5" t="str">
        <f aca="false">IF(COUNTIFS($A$2:$A$1001,A199,$C$2:$C$1001,C199)&gt;1,"Duplicate","Unique")</f>
        <v>Unique</v>
      </c>
    </row>
    <row r="200" customFormat="false" ht="15" hidden="false" customHeight="false" outlineLevel="0" collapsed="false">
      <c r="A200" s="2" t="s">
        <v>586</v>
      </c>
      <c r="B200" s="3" t="n">
        <v>7.9</v>
      </c>
      <c r="C200" s="2" t="s">
        <v>587</v>
      </c>
      <c r="D200" s="2" t="n">
        <v>7</v>
      </c>
      <c r="E200" s="2" t="n">
        <v>4</v>
      </c>
      <c r="F200" s="2" t="s">
        <v>25</v>
      </c>
      <c r="G200" s="2" t="n">
        <v>1</v>
      </c>
      <c r="H200" s="2" t="n">
        <v>979</v>
      </c>
      <c r="I200" s="2" t="s">
        <v>26</v>
      </c>
      <c r="J200" s="2" t="n">
        <v>0</v>
      </c>
      <c r="K200" s="2" t="n">
        <v>1.431</v>
      </c>
      <c r="L200" s="2" t="n">
        <v>12</v>
      </c>
      <c r="M200" s="2" t="s">
        <v>27</v>
      </c>
      <c r="N200" s="3" t="n">
        <v>670.81</v>
      </c>
      <c r="O200" s="3" t="n">
        <v>-18.4743</v>
      </c>
      <c r="P200" s="3" t="n">
        <v>179.35</v>
      </c>
      <c r="Q200" s="3" t="s">
        <v>551</v>
      </c>
      <c r="R200" s="2"/>
      <c r="S200" s="2" t="s">
        <v>150</v>
      </c>
      <c r="T200" s="4" t="n">
        <f aca="false">DATE(VALUE(MID(C200,7,4)),VALUE(MID(C200,4,2)),VALUE(MID(C200,1,2)))+TIME(VALUE(MID(C200,12,2)),VALUE(MID(C200,15,2)),0)</f>
        <v>43349.6590277778</v>
      </c>
      <c r="U200" s="2" t="str">
        <f aca="false">IF(AND(ISNUMBER(VALUE(MID(A200,7,1))),ISNUMBER(SEARCH("km",A200)),ISNUMBER(SEARCH("of",A200))),"Distance-location","Named-region")</f>
        <v>Named-region</v>
      </c>
      <c r="V200" s="2" t="str">
        <f aca="false">LOWER(M200)</f>
        <v>mww</v>
      </c>
      <c r="W200" s="5" t="str">
        <f aca="false">IF(COUNTIFS($A$2:$A$1001,A200,$C$2:$C$1001,C200)&gt;1,"Duplicate","Unique")</f>
        <v>Unique</v>
      </c>
    </row>
    <row r="201" customFormat="false" ht="15" hidden="false" customHeight="false" outlineLevel="0" collapsed="false">
      <c r="A201" s="2" t="s">
        <v>588</v>
      </c>
      <c r="B201" s="3" t="n">
        <v>6.6</v>
      </c>
      <c r="C201" s="2" t="s">
        <v>589</v>
      </c>
      <c r="D201" s="2" t="n">
        <v>8</v>
      </c>
      <c r="E201" s="2" t="n">
        <v>9</v>
      </c>
      <c r="F201" s="2" t="s">
        <v>99</v>
      </c>
      <c r="G201" s="2" t="n">
        <v>1</v>
      </c>
      <c r="H201" s="2" t="n">
        <v>1075</v>
      </c>
      <c r="I201" s="2" t="s">
        <v>26</v>
      </c>
      <c r="J201" s="2" t="n">
        <v>0</v>
      </c>
      <c r="K201" s="2" t="n">
        <v>1.13</v>
      </c>
      <c r="L201" s="2" t="n">
        <v>32</v>
      </c>
      <c r="M201" s="2" t="s">
        <v>27</v>
      </c>
      <c r="N201" s="3" t="n">
        <v>35</v>
      </c>
      <c r="O201" s="3" t="n">
        <v>42.6861</v>
      </c>
      <c r="P201" s="3" t="n">
        <v>141.929</v>
      </c>
      <c r="Q201" s="3" t="s">
        <v>590</v>
      </c>
      <c r="R201" s="2" t="s">
        <v>84</v>
      </c>
      <c r="S201" s="2" t="s">
        <v>326</v>
      </c>
      <c r="T201" s="4" t="n">
        <f aca="false">DATE(VALUE(MID(C201,7,4)),VALUE(MID(C201,4,2)),VALUE(MID(C201,1,2)))+TIME(VALUE(MID(C201,12,2)),VALUE(MID(C201,15,2)),0)</f>
        <v>43348.7548611111</v>
      </c>
      <c r="U201" s="2" t="str">
        <f aca="false">IF(AND(ISNUMBER(VALUE(MID(A201,7,1))),ISNUMBER(SEARCH("km",A201)),ISNUMBER(SEARCH("of",A201))),"Distance-location","Named-region")</f>
        <v>Named-region</v>
      </c>
      <c r="V201" s="2" t="str">
        <f aca="false">LOWER(M201)</f>
        <v>mww</v>
      </c>
      <c r="W201" s="5" t="str">
        <f aca="false">IF(COUNTIFS($A$2:$A$1001,A201,$C$2:$C$1001,C201)&gt;1,"Duplicate","Unique")</f>
        <v>Unique</v>
      </c>
    </row>
    <row r="202" customFormat="false" ht="15" hidden="false" customHeight="false" outlineLevel="0" collapsed="false">
      <c r="A202" s="2" t="s">
        <v>591</v>
      </c>
      <c r="B202" s="3" t="n">
        <v>7.1</v>
      </c>
      <c r="C202" s="2" t="s">
        <v>592</v>
      </c>
      <c r="D202" s="2" t="n">
        <v>2</v>
      </c>
      <c r="E202" s="2" t="n">
        <v>5</v>
      </c>
      <c r="F202" s="2" t="s">
        <v>25</v>
      </c>
      <c r="G202" s="2" t="n">
        <v>1</v>
      </c>
      <c r="H202" s="2" t="n">
        <v>776</v>
      </c>
      <c r="I202" s="2" t="s">
        <v>26</v>
      </c>
      <c r="J202" s="2" t="n">
        <v>0</v>
      </c>
      <c r="K202" s="2" t="n">
        <v>2.548</v>
      </c>
      <c r="L202" s="2" t="n">
        <v>23</v>
      </c>
      <c r="M202" s="2" t="s">
        <v>27</v>
      </c>
      <c r="N202" s="3" t="n">
        <v>21.43</v>
      </c>
      <c r="O202" s="3" t="n">
        <v>-22.0295</v>
      </c>
      <c r="P202" s="3" t="n">
        <v>170.126</v>
      </c>
      <c r="Q202" s="3" t="s">
        <v>215</v>
      </c>
      <c r="R202" s="2"/>
      <c r="S202" s="2"/>
      <c r="T202" s="4" t="n">
        <f aca="false">DATE(VALUE(MID(C202,7,4)),VALUE(MID(C202,4,2)),VALUE(MID(C202,1,2)))+TIME(VALUE(MID(C202,12,2)),VALUE(MID(C202,15,2)),0)</f>
        <v>43341.1604166667</v>
      </c>
      <c r="U202" s="2" t="str">
        <f aca="false">IF(AND(ISNUMBER(VALUE(MID(A202,7,1))),ISNUMBER(SEARCH("km",A202)),ISNUMBER(SEARCH("of",A202))),"Distance-location","Named-region")</f>
        <v>Named-region</v>
      </c>
      <c r="V202" s="2" t="str">
        <f aca="false">LOWER(M202)</f>
        <v>mww</v>
      </c>
      <c r="W202" s="5" t="str">
        <f aca="false">IF(COUNTIFS($A$2:$A$1001,A202,$C$2:$C$1001,C202)&gt;1,"Duplicate","Unique")</f>
        <v>Unique</v>
      </c>
    </row>
    <row r="203" customFormat="false" ht="15" hidden="false" customHeight="false" outlineLevel="0" collapsed="false">
      <c r="A203" s="2" t="s">
        <v>593</v>
      </c>
      <c r="B203" s="3" t="n">
        <v>7.1</v>
      </c>
      <c r="C203" s="2" t="s">
        <v>594</v>
      </c>
      <c r="D203" s="2" t="n">
        <v>0</v>
      </c>
      <c r="E203" s="2" t="n">
        <v>3</v>
      </c>
      <c r="F203" s="2" t="s">
        <v>25</v>
      </c>
      <c r="G203" s="2" t="n">
        <v>0</v>
      </c>
      <c r="H203" s="2" t="n">
        <v>776</v>
      </c>
      <c r="I203" s="2" t="s">
        <v>26</v>
      </c>
      <c r="J203" s="2" t="n">
        <v>0</v>
      </c>
      <c r="K203" s="2" t="n">
        <v>3.77</v>
      </c>
      <c r="L203" s="2" t="n">
        <v>12</v>
      </c>
      <c r="M203" s="2" t="s">
        <v>27</v>
      </c>
      <c r="N203" s="3" t="n">
        <v>630</v>
      </c>
      <c r="O203" s="3" t="n">
        <v>-11.0355</v>
      </c>
      <c r="P203" s="3" t="n">
        <v>-70.8284</v>
      </c>
      <c r="Q203" s="3" t="s">
        <v>595</v>
      </c>
      <c r="R203" s="2" t="s">
        <v>37</v>
      </c>
      <c r="S203" s="2" t="s">
        <v>203</v>
      </c>
      <c r="T203" s="4" t="n">
        <f aca="false">DATE(VALUE(MID(C203,7,4)),VALUE(MID(C203,4,2)),VALUE(MID(C203,1,2)))+TIME(VALUE(MID(C203,12,2)),VALUE(MID(C203,15,2)),0)</f>
        <v>43336.3777777778</v>
      </c>
      <c r="U203" s="2" t="str">
        <f aca="false">IF(AND(ISNUMBER(VALUE(MID(A203,7,1))),ISNUMBER(SEARCH("km",A203)),ISNUMBER(SEARCH("of",A203))),"Distance-location","Named-region")</f>
        <v>Named-region</v>
      </c>
      <c r="V203" s="2" t="str">
        <f aca="false">LOWER(M203)</f>
        <v>mww</v>
      </c>
      <c r="W203" s="5" t="str">
        <f aca="false">IF(COUNTIFS($A$2:$A$1001,A203,$C$2:$C$1001,C203)&gt;1,"Duplicate","Unique")</f>
        <v>Unique</v>
      </c>
    </row>
    <row r="204" customFormat="false" ht="15" hidden="false" customHeight="false" outlineLevel="0" collapsed="false">
      <c r="A204" s="2" t="s">
        <v>596</v>
      </c>
      <c r="B204" s="3" t="n">
        <v>6.5</v>
      </c>
      <c r="C204" s="2" t="s">
        <v>597</v>
      </c>
      <c r="D204" s="2" t="n">
        <v>6</v>
      </c>
      <c r="E204" s="2" t="n">
        <v>7</v>
      </c>
      <c r="F204" s="2" t="s">
        <v>25</v>
      </c>
      <c r="G204" s="2" t="n">
        <v>1</v>
      </c>
      <c r="H204" s="2" t="n">
        <v>652</v>
      </c>
      <c r="I204" s="2" t="s">
        <v>26</v>
      </c>
      <c r="J204" s="2" t="n">
        <v>0</v>
      </c>
      <c r="K204" s="2" t="n">
        <v>4.797</v>
      </c>
      <c r="L204" s="2" t="n">
        <v>10</v>
      </c>
      <c r="M204" s="2" t="s">
        <v>27</v>
      </c>
      <c r="N204" s="3" t="n">
        <v>9</v>
      </c>
      <c r="O204" s="3" t="n">
        <v>-16.0315</v>
      </c>
      <c r="P204" s="3" t="n">
        <v>168.143</v>
      </c>
      <c r="Q204" s="3" t="s">
        <v>476</v>
      </c>
      <c r="R204" s="2"/>
      <c r="S204" s="2" t="s">
        <v>29</v>
      </c>
      <c r="T204" s="4" t="n">
        <f aca="false">DATE(VALUE(MID(C204,7,4)),VALUE(MID(C204,4,2)),VALUE(MID(C204,1,2)))+TIME(VALUE(MID(C204,12,2)),VALUE(MID(C204,15,2)),0)</f>
        <v>43333.9388888889</v>
      </c>
      <c r="U204" s="2" t="str">
        <f aca="false">IF(AND(ISNUMBER(VALUE(MID(A204,7,1))),ISNUMBER(SEARCH("km",A204)),ISNUMBER(SEARCH("of",A204))),"Distance-location","Named-region")</f>
        <v>Named-region</v>
      </c>
      <c r="V204" s="2" t="str">
        <f aca="false">LOWER(M204)</f>
        <v>mww</v>
      </c>
      <c r="W204" s="5" t="str">
        <f aca="false">IF(COUNTIFS($A$2:$A$1001,A204,$C$2:$C$1001,C204)&gt;1,"Duplicate","Unique")</f>
        <v>Unique</v>
      </c>
    </row>
    <row r="205" customFormat="false" ht="15" hidden="false" customHeight="false" outlineLevel="0" collapsed="false">
      <c r="A205" s="2" t="s">
        <v>598</v>
      </c>
      <c r="B205" s="3" t="n">
        <v>7.3</v>
      </c>
      <c r="C205" s="2" t="s">
        <v>599</v>
      </c>
      <c r="D205" s="2" t="n">
        <v>8</v>
      </c>
      <c r="E205" s="2" t="n">
        <v>6</v>
      </c>
      <c r="F205" s="2" t="s">
        <v>32</v>
      </c>
      <c r="G205" s="2" t="n">
        <v>1</v>
      </c>
      <c r="H205" s="2" t="n">
        <v>1570</v>
      </c>
      <c r="I205" s="2" t="s">
        <v>26</v>
      </c>
      <c r="J205" s="2" t="n">
        <v>0</v>
      </c>
      <c r="K205" s="2" t="n">
        <v>1.822</v>
      </c>
      <c r="L205" s="2" t="n">
        <v>15</v>
      </c>
      <c r="M205" s="2" t="s">
        <v>27</v>
      </c>
      <c r="N205" s="3" t="n">
        <v>146.82</v>
      </c>
      <c r="O205" s="3" t="n">
        <v>10.7731</v>
      </c>
      <c r="P205" s="3" t="n">
        <v>-62.9019</v>
      </c>
      <c r="Q205" s="3" t="s">
        <v>600</v>
      </c>
      <c r="R205" s="2"/>
      <c r="S205" s="2" t="s">
        <v>601</v>
      </c>
      <c r="T205" s="4" t="n">
        <f aca="false">DATE(VALUE(MID(C205,7,4)),VALUE(MID(C205,4,2)),VALUE(MID(C205,1,2)))+TIME(VALUE(MID(C205,12,2)),VALUE(MID(C205,15,2)),0)</f>
        <v>43333.8965277778</v>
      </c>
      <c r="U205" s="2" t="str">
        <f aca="false">IF(AND(ISNUMBER(VALUE(MID(A205,7,1))),ISNUMBER(SEARCH("km",A205)),ISNUMBER(SEARCH("of",A205))),"Distance-location","Named-region")</f>
        <v>Named-region</v>
      </c>
      <c r="V205" s="2" t="str">
        <f aca="false">LOWER(M205)</f>
        <v>mww</v>
      </c>
      <c r="W205" s="5" t="str">
        <f aca="false">IF(COUNTIFS($A$2:$A$1001,A205,$C$2:$C$1001,C205)&gt;1,"Duplicate","Unique")</f>
        <v>Unique</v>
      </c>
    </row>
    <row r="206" customFormat="false" ht="15" hidden="false" customHeight="false" outlineLevel="0" collapsed="false">
      <c r="A206" s="2" t="s">
        <v>602</v>
      </c>
      <c r="B206" s="3" t="n">
        <v>6.9</v>
      </c>
      <c r="C206" s="2" t="s">
        <v>603</v>
      </c>
      <c r="D206" s="2" t="n">
        <v>7</v>
      </c>
      <c r="E206" s="2" t="n">
        <v>7</v>
      </c>
      <c r="F206" s="2" t="s">
        <v>25</v>
      </c>
      <c r="G206" s="2" t="n">
        <v>0</v>
      </c>
      <c r="H206" s="2" t="n">
        <v>1206</v>
      </c>
      <c r="I206" s="2" t="s">
        <v>26</v>
      </c>
      <c r="J206" s="2" t="n">
        <v>0</v>
      </c>
      <c r="K206" s="2" t="n">
        <v>2.453</v>
      </c>
      <c r="L206" s="2" t="n">
        <v>31</v>
      </c>
      <c r="M206" s="2" t="s">
        <v>27</v>
      </c>
      <c r="N206" s="3" t="n">
        <v>21</v>
      </c>
      <c r="O206" s="3" t="n">
        <v>-8.319</v>
      </c>
      <c r="P206" s="3" t="n">
        <v>116.627</v>
      </c>
      <c r="Q206" s="3" t="s">
        <v>604</v>
      </c>
      <c r="R206" s="2"/>
      <c r="S206" s="2" t="s">
        <v>72</v>
      </c>
      <c r="T206" s="4" t="n">
        <f aca="false">DATE(VALUE(MID(C206,7,4)),VALUE(MID(C206,4,2)),VALUE(MID(C206,1,2)))+TIME(VALUE(MID(C206,12,2)),VALUE(MID(C206,15,2)),0)</f>
        <v>43331.6222222222</v>
      </c>
      <c r="U206" s="2" t="str">
        <f aca="false">IF(AND(ISNUMBER(VALUE(MID(A206,7,1))),ISNUMBER(SEARCH("km",A206)),ISNUMBER(SEARCH("of",A206))),"Distance-location","Named-region")</f>
        <v>Named-region</v>
      </c>
      <c r="V206" s="2" t="str">
        <f aca="false">LOWER(M206)</f>
        <v>mww</v>
      </c>
      <c r="W206" s="5" t="str">
        <f aca="false">IF(COUNTIFS($A$2:$A$1001,A206,$C$2:$C$1001,C206)&gt;1,"Duplicate","Unique")</f>
        <v>Unique</v>
      </c>
    </row>
    <row r="207" customFormat="false" ht="15" hidden="false" customHeight="false" outlineLevel="0" collapsed="false">
      <c r="A207" s="2" t="s">
        <v>605</v>
      </c>
      <c r="B207" s="3" t="n">
        <v>8.2</v>
      </c>
      <c r="C207" s="2" t="s">
        <v>606</v>
      </c>
      <c r="D207" s="2" t="n">
        <v>5</v>
      </c>
      <c r="E207" s="2" t="n">
        <v>4</v>
      </c>
      <c r="F207" s="2" t="s">
        <v>25</v>
      </c>
      <c r="G207" s="2" t="n">
        <v>1</v>
      </c>
      <c r="H207" s="2" t="n">
        <v>1050</v>
      </c>
      <c r="I207" s="2" t="s">
        <v>26</v>
      </c>
      <c r="J207" s="2" t="n">
        <v>0</v>
      </c>
      <c r="K207" s="2" t="n">
        <v>3.63</v>
      </c>
      <c r="L207" s="2" t="n">
        <v>13</v>
      </c>
      <c r="M207" s="2" t="s">
        <v>27</v>
      </c>
      <c r="N207" s="3" t="n">
        <v>600</v>
      </c>
      <c r="O207" s="3" t="n">
        <v>-18.1125</v>
      </c>
      <c r="P207" s="3" t="n">
        <v>-178.153</v>
      </c>
      <c r="Q207" s="3" t="s">
        <v>551</v>
      </c>
      <c r="R207" s="2"/>
      <c r="S207" s="2" t="s">
        <v>150</v>
      </c>
      <c r="T207" s="4" t="n">
        <f aca="false">DATE(VALUE(MID(C207,7,4)),VALUE(MID(C207,4,2)),VALUE(MID(C207,1,2)))+TIME(VALUE(MID(C207,12,2)),VALUE(MID(C207,15,2)),0)</f>
        <v>43331.0131944444</v>
      </c>
      <c r="U207" s="2" t="str">
        <f aca="false">IF(AND(ISNUMBER(VALUE(MID(A207,7,1))),ISNUMBER(SEARCH("km",A207)),ISNUMBER(SEARCH("of",A207))),"Distance-location","Named-region")</f>
        <v>Named-region</v>
      </c>
      <c r="V207" s="2" t="str">
        <f aca="false">LOWER(M207)</f>
        <v>mww</v>
      </c>
      <c r="W207" s="5" t="str">
        <f aca="false">IF(COUNTIFS($A$2:$A$1001,A207,$C$2:$C$1001,C207)&gt;1,"Duplicate","Unique")</f>
        <v>Unique</v>
      </c>
    </row>
    <row r="208" customFormat="false" ht="15" hidden="false" customHeight="false" outlineLevel="0" collapsed="false">
      <c r="A208" s="2" t="s">
        <v>607</v>
      </c>
      <c r="B208" s="3" t="n">
        <v>6.5</v>
      </c>
      <c r="C208" s="2" t="s">
        <v>608</v>
      </c>
      <c r="D208" s="2" t="n">
        <v>5</v>
      </c>
      <c r="E208" s="2" t="n">
        <v>3</v>
      </c>
      <c r="F208" s="2" t="s">
        <v>25</v>
      </c>
      <c r="G208" s="2" t="n">
        <v>0</v>
      </c>
      <c r="H208" s="2" t="n">
        <v>743</v>
      </c>
      <c r="I208" s="2" t="s">
        <v>26</v>
      </c>
      <c r="J208" s="2" t="n">
        <v>0</v>
      </c>
      <c r="K208" s="2" t="n">
        <v>2.719</v>
      </c>
      <c r="L208" s="2" t="n">
        <v>23</v>
      </c>
      <c r="M208" s="2" t="s">
        <v>27</v>
      </c>
      <c r="N208" s="3" t="n">
        <v>529</v>
      </c>
      <c r="O208" s="3" t="n">
        <v>-7.3718</v>
      </c>
      <c r="P208" s="3" t="n">
        <v>119.802</v>
      </c>
      <c r="Q208" s="3" t="s">
        <v>609</v>
      </c>
      <c r="R208" s="2"/>
      <c r="S208" s="2" t="s">
        <v>72</v>
      </c>
      <c r="T208" s="4" t="n">
        <f aca="false">DATE(VALUE(MID(C208,7,4)),VALUE(MID(C208,4,2)),VALUE(MID(C208,1,2)))+TIME(VALUE(MID(C208,12,2)),VALUE(MID(C208,15,2)),0)</f>
        <v>43329.6493055556</v>
      </c>
      <c r="U208" s="2" t="str">
        <f aca="false">IF(AND(ISNUMBER(VALUE(MID(A208,7,1))),ISNUMBER(SEARCH("km",A208)),ISNUMBER(SEARCH("of",A208))),"Distance-location","Named-region")</f>
        <v>Named-region</v>
      </c>
      <c r="V208" s="2" t="str">
        <f aca="false">LOWER(M208)</f>
        <v>mww</v>
      </c>
      <c r="W208" s="5" t="str">
        <f aca="false">IF(COUNTIFS($A$2:$A$1001,A208,$C$2:$C$1001,C208)&gt;1,"Duplicate","Unique")</f>
        <v>Unique</v>
      </c>
    </row>
    <row r="209" customFormat="false" ht="15" hidden="false" customHeight="false" outlineLevel="0" collapsed="false">
      <c r="A209" s="2" t="s">
        <v>610</v>
      </c>
      <c r="B209" s="3" t="n">
        <v>6.5</v>
      </c>
      <c r="C209" s="2" t="s">
        <v>611</v>
      </c>
      <c r="D209" s="2" t="n">
        <v>6</v>
      </c>
      <c r="E209" s="2" t="n">
        <v>6</v>
      </c>
      <c r="F209" s="2" t="s">
        <v>25</v>
      </c>
      <c r="G209" s="2" t="n">
        <v>1</v>
      </c>
      <c r="H209" s="2" t="n">
        <v>655</v>
      </c>
      <c r="I209" s="2" t="s">
        <v>26</v>
      </c>
      <c r="J209" s="2" t="n">
        <v>0</v>
      </c>
      <c r="K209" s="2" t="n">
        <v>0.576</v>
      </c>
      <c r="L209" s="2" t="n">
        <v>22</v>
      </c>
      <c r="M209" s="2" t="s">
        <v>27</v>
      </c>
      <c r="N209" s="3" t="n">
        <v>33.93</v>
      </c>
      <c r="O209" s="3" t="n">
        <v>51.4234</v>
      </c>
      <c r="P209" s="3" t="n">
        <v>-178.026</v>
      </c>
      <c r="Q209" s="3" t="s">
        <v>612</v>
      </c>
      <c r="R209" s="2" t="s">
        <v>168</v>
      </c>
      <c r="S209" s="2" t="s">
        <v>265</v>
      </c>
      <c r="T209" s="4" t="n">
        <f aca="false">DATE(VALUE(MID(C209,7,4)),VALUE(MID(C209,4,2)),VALUE(MID(C209,1,2)))+TIME(VALUE(MID(C209,12,2)),VALUE(MID(C209,15,2)),0)</f>
        <v>43327.9138888889</v>
      </c>
      <c r="U209" s="2" t="str">
        <f aca="false">IF(AND(ISNUMBER(VALUE(MID(A209,7,1))),ISNUMBER(SEARCH("km",A209)),ISNUMBER(SEARCH("of",A209))),"Distance-location","Named-region")</f>
        <v>Named-region</v>
      </c>
      <c r="V209" s="2" t="str">
        <f aca="false">LOWER(M209)</f>
        <v>mww</v>
      </c>
      <c r="W209" s="5" t="str">
        <f aca="false">IF(COUNTIFS($A$2:$A$1001,A209,$C$2:$C$1001,C209)&gt;1,"Duplicate","Unique")</f>
        <v>Unique</v>
      </c>
    </row>
    <row r="210" customFormat="false" ht="15" hidden="false" customHeight="false" outlineLevel="0" collapsed="false">
      <c r="A210" s="2" t="s">
        <v>613</v>
      </c>
      <c r="B210" s="3" t="n">
        <v>6.9</v>
      </c>
      <c r="C210" s="2" t="s">
        <v>614</v>
      </c>
      <c r="D210" s="2" t="n">
        <v>9</v>
      </c>
      <c r="E210" s="2" t="n">
        <v>8</v>
      </c>
      <c r="F210" s="2" t="s">
        <v>99</v>
      </c>
      <c r="G210" s="2" t="n">
        <v>0</v>
      </c>
      <c r="H210" s="2" t="n">
        <v>1704</v>
      </c>
      <c r="I210" s="2" t="s">
        <v>26</v>
      </c>
      <c r="J210" s="2" t="n">
        <v>0</v>
      </c>
      <c r="K210" s="2" t="n">
        <v>2.271</v>
      </c>
      <c r="L210" s="2" t="n">
        <v>15</v>
      </c>
      <c r="M210" s="2" t="s">
        <v>27</v>
      </c>
      <c r="N210" s="3" t="n">
        <v>34</v>
      </c>
      <c r="O210" s="3" t="n">
        <v>-8.2581</v>
      </c>
      <c r="P210" s="3" t="n">
        <v>116.438</v>
      </c>
      <c r="Q210" s="3" t="s">
        <v>604</v>
      </c>
      <c r="R210" s="2"/>
      <c r="S210" s="2" t="s">
        <v>72</v>
      </c>
      <c r="T210" s="4" t="n">
        <f aca="false">DATE(VALUE(MID(C210,7,4)),VALUE(MID(C210,4,2)),VALUE(MID(C210,1,2)))+TIME(VALUE(MID(C210,12,2)),VALUE(MID(C210,15,2)),0)</f>
        <v>43317.4902777778</v>
      </c>
      <c r="U210" s="2" t="str">
        <f aca="false">IF(AND(ISNUMBER(VALUE(MID(A210,7,1))),ISNUMBER(SEARCH("km",A210)),ISNUMBER(SEARCH("of",A210))),"Distance-location","Named-region")</f>
        <v>Named-region</v>
      </c>
      <c r="V210" s="2" t="str">
        <f aca="false">LOWER(M210)</f>
        <v>mww</v>
      </c>
      <c r="W210" s="5" t="str">
        <f aca="false">IF(COUNTIFS($A$2:$A$1001,A210,$C$2:$C$1001,C210)&gt;1,"Duplicate","Unique")</f>
        <v>Unique</v>
      </c>
    </row>
    <row r="211" customFormat="false" ht="15" hidden="false" customHeight="false" outlineLevel="0" collapsed="false">
      <c r="A211" s="2" t="s">
        <v>615</v>
      </c>
      <c r="B211" s="3" t="n">
        <v>6.9</v>
      </c>
      <c r="C211" s="2" t="s">
        <v>616</v>
      </c>
      <c r="D211" s="2" t="n">
        <v>7</v>
      </c>
      <c r="E211" s="2" t="n">
        <v>8</v>
      </c>
      <c r="F211" s="2" t="s">
        <v>32</v>
      </c>
      <c r="G211" s="2" t="n">
        <v>1</v>
      </c>
      <c r="H211" s="2" t="n">
        <v>1392</v>
      </c>
      <c r="I211" s="2" t="s">
        <v>617</v>
      </c>
      <c r="J211" s="2" t="n">
        <v>63</v>
      </c>
      <c r="K211" s="2" t="n">
        <v>0.11</v>
      </c>
      <c r="L211" s="2" t="n">
        <v>210</v>
      </c>
      <c r="M211" s="2" t="s">
        <v>489</v>
      </c>
      <c r="N211" s="3" t="n">
        <v>5.81</v>
      </c>
      <c r="O211" s="3" t="n">
        <v>19.3182</v>
      </c>
      <c r="P211" s="3" t="n">
        <v>-155</v>
      </c>
      <c r="Q211" s="3" t="s">
        <v>618</v>
      </c>
      <c r="R211" s="2"/>
      <c r="S211" s="2" t="s">
        <v>265</v>
      </c>
      <c r="T211" s="4" t="n">
        <f aca="false">DATE(VALUE(MID(C211,7,4)),VALUE(MID(C211,4,2)),VALUE(MID(C211,1,2)))+TIME(VALUE(MID(C211,12,2)),VALUE(MID(C211,15,2)),0)</f>
        <v>43224.9388888889</v>
      </c>
      <c r="U211" s="2" t="str">
        <f aca="false">IF(AND(ISNUMBER(VALUE(MID(A211,7,1))),ISNUMBER(SEARCH("km",A211)),ISNUMBER(SEARCH("of",A211))),"Distance-location","Named-region")</f>
        <v>Named-region</v>
      </c>
      <c r="V211" s="2" t="str">
        <f aca="false">LOWER(M211)</f>
        <v>mw</v>
      </c>
      <c r="W211" s="5" t="str">
        <f aca="false">IF(COUNTIFS($A$2:$A$1001,A211,$C$2:$C$1001,C211)&gt;1,"Duplicate","Unique")</f>
        <v>Unique</v>
      </c>
    </row>
    <row r="212" customFormat="false" ht="15" hidden="false" customHeight="false" outlineLevel="0" collapsed="false">
      <c r="A212" s="2" t="s">
        <v>619</v>
      </c>
      <c r="B212" s="3" t="n">
        <v>6.8</v>
      </c>
      <c r="C212" s="2" t="s">
        <v>620</v>
      </c>
      <c r="D212" s="2" t="n">
        <v>5</v>
      </c>
      <c r="E212" s="2" t="n">
        <v>3</v>
      </c>
      <c r="F212" s="2" t="s">
        <v>25</v>
      </c>
      <c r="G212" s="2" t="n">
        <v>0</v>
      </c>
      <c r="H212" s="2" t="n">
        <v>733</v>
      </c>
      <c r="I212" s="2" t="s">
        <v>26</v>
      </c>
      <c r="J212" s="2" t="n">
        <v>0</v>
      </c>
      <c r="K212" s="2" t="n">
        <v>5.32</v>
      </c>
      <c r="L212" s="2" t="n">
        <v>16</v>
      </c>
      <c r="M212" s="2" t="s">
        <v>27</v>
      </c>
      <c r="N212" s="3" t="n">
        <v>559</v>
      </c>
      <c r="O212" s="3" t="n">
        <v>-20.6588</v>
      </c>
      <c r="P212" s="3" t="n">
        <v>-63.0058</v>
      </c>
      <c r="Q212" s="3" t="s">
        <v>621</v>
      </c>
      <c r="R212" s="2" t="s">
        <v>37</v>
      </c>
      <c r="S212" s="2" t="s">
        <v>622</v>
      </c>
      <c r="T212" s="4" t="n">
        <f aca="false">DATE(VALUE(MID(C212,7,4)),VALUE(MID(C212,4,2)),VALUE(MID(C212,1,2)))+TIME(VALUE(MID(C212,12,2)),VALUE(MID(C212,15,2)),0)</f>
        <v>43192.5694444444</v>
      </c>
      <c r="U212" s="2" t="str">
        <f aca="false">IF(AND(ISNUMBER(VALUE(MID(A212,7,1))),ISNUMBER(SEARCH("km",A212)),ISNUMBER(SEARCH("of",A212))),"Distance-location","Named-region")</f>
        <v>Named-region</v>
      </c>
      <c r="V212" s="2" t="str">
        <f aca="false">LOWER(M212)</f>
        <v>mww</v>
      </c>
      <c r="W212" s="5" t="str">
        <f aca="false">IF(COUNTIFS($A$2:$A$1001,A212,$C$2:$C$1001,C212)&gt;1,"Duplicate","Unique")</f>
        <v>Unique</v>
      </c>
    </row>
    <row r="213" customFormat="false" ht="15" hidden="false" customHeight="false" outlineLevel="0" collapsed="false">
      <c r="A213" s="2" t="s">
        <v>623</v>
      </c>
      <c r="B213" s="3" t="n">
        <v>6.9</v>
      </c>
      <c r="C213" s="2" t="s">
        <v>624</v>
      </c>
      <c r="D213" s="2" t="n">
        <v>9</v>
      </c>
      <c r="E213" s="2" t="n">
        <v>6</v>
      </c>
      <c r="F213" s="2" t="s">
        <v>25</v>
      </c>
      <c r="G213" s="2" t="n">
        <v>1</v>
      </c>
      <c r="H213" s="2" t="n">
        <v>741</v>
      </c>
      <c r="I213" s="2" t="s">
        <v>26</v>
      </c>
      <c r="J213" s="2" t="n">
        <v>0</v>
      </c>
      <c r="K213" s="2" t="n">
        <v>1.487</v>
      </c>
      <c r="L213" s="2" t="n">
        <v>18</v>
      </c>
      <c r="M213" s="2" t="s">
        <v>27</v>
      </c>
      <c r="N213" s="3" t="n">
        <v>35</v>
      </c>
      <c r="O213" s="3" t="n">
        <v>-5.5321</v>
      </c>
      <c r="P213" s="3" t="n">
        <v>151.5</v>
      </c>
      <c r="Q213" s="3" t="s">
        <v>111</v>
      </c>
      <c r="R213" s="2"/>
      <c r="S213" s="2" t="s">
        <v>89</v>
      </c>
      <c r="T213" s="4" t="n">
        <f aca="false">DATE(VALUE(MID(C213,7,4)),VALUE(MID(C213,4,2)),VALUE(MID(C213,1,2)))+TIME(VALUE(MID(C213,12,2)),VALUE(MID(C213,15,2)),0)</f>
        <v>43188.8923611111</v>
      </c>
      <c r="U213" s="2" t="str">
        <f aca="false">IF(AND(ISNUMBER(VALUE(MID(A213,7,1))),ISNUMBER(SEARCH("km",A213)),ISNUMBER(SEARCH("of",A213))),"Distance-location","Named-region")</f>
        <v>Named-region</v>
      </c>
      <c r="V213" s="2" t="str">
        <f aca="false">LOWER(M213)</f>
        <v>mww</v>
      </c>
      <c r="W213" s="5" t="str">
        <f aca="false">IF(COUNTIFS($A$2:$A$1001,A213,$C$2:$C$1001,C213)&gt;1,"Duplicate","Unique")</f>
        <v>Unique</v>
      </c>
    </row>
    <row r="214" customFormat="false" ht="15" hidden="false" customHeight="false" outlineLevel="0" collapsed="false">
      <c r="A214" s="2" t="s">
        <v>625</v>
      </c>
      <c r="B214" s="3" t="n">
        <v>6.7</v>
      </c>
      <c r="C214" s="2" t="s">
        <v>626</v>
      </c>
      <c r="D214" s="2" t="n">
        <v>5</v>
      </c>
      <c r="E214" s="2" t="n">
        <v>6</v>
      </c>
      <c r="F214" s="2" t="s">
        <v>25</v>
      </c>
      <c r="G214" s="2" t="n">
        <v>1</v>
      </c>
      <c r="H214" s="2" t="n">
        <v>696</v>
      </c>
      <c r="I214" s="2" t="s">
        <v>26</v>
      </c>
      <c r="J214" s="2" t="n">
        <v>0</v>
      </c>
      <c r="K214" s="2" t="n">
        <v>1.507</v>
      </c>
      <c r="L214" s="2" t="n">
        <v>15</v>
      </c>
      <c r="M214" s="2" t="s">
        <v>27</v>
      </c>
      <c r="N214" s="3" t="n">
        <v>40</v>
      </c>
      <c r="O214" s="3" t="n">
        <v>-5.5024</v>
      </c>
      <c r="P214" s="3" t="n">
        <v>151.402</v>
      </c>
      <c r="Q214" s="3" t="s">
        <v>111</v>
      </c>
      <c r="R214" s="2"/>
      <c r="S214" s="2" t="s">
        <v>89</v>
      </c>
      <c r="T214" s="4" t="n">
        <f aca="false">DATE(VALUE(MID(C214,7,4)),VALUE(MID(C214,4,2)),VALUE(MID(C214,1,2)))+TIME(VALUE(MID(C214,12,2)),VALUE(MID(C214,15,2)),0)</f>
        <v>43185.4104166667</v>
      </c>
      <c r="U214" s="2" t="str">
        <f aca="false">IF(AND(ISNUMBER(VALUE(MID(A214,7,1))),ISNUMBER(SEARCH("km",A214)),ISNUMBER(SEARCH("of",A214))),"Distance-location","Named-region")</f>
        <v>Named-region</v>
      </c>
      <c r="V214" s="2" t="str">
        <f aca="false">LOWER(M214)</f>
        <v>mww</v>
      </c>
      <c r="W214" s="5" t="str">
        <f aca="false">IF(COUNTIFS($A$2:$A$1001,A214,$C$2:$C$1001,C214)&gt;1,"Duplicate","Unique")</f>
        <v>Unique</v>
      </c>
    </row>
    <row r="215" customFormat="false" ht="15" hidden="false" customHeight="false" outlineLevel="0" collapsed="false">
      <c r="A215" s="2" t="s">
        <v>627</v>
      </c>
      <c r="B215" s="3" t="n">
        <v>6.8</v>
      </c>
      <c r="C215" s="2" t="s">
        <v>628</v>
      </c>
      <c r="D215" s="2" t="n">
        <v>6</v>
      </c>
      <c r="E215" s="2" t="n">
        <v>6</v>
      </c>
      <c r="F215" s="2" t="s">
        <v>25</v>
      </c>
      <c r="G215" s="2" t="n">
        <v>1</v>
      </c>
      <c r="H215" s="2" t="n">
        <v>719</v>
      </c>
      <c r="I215" s="2" t="s">
        <v>26</v>
      </c>
      <c r="J215" s="2" t="n">
        <v>0</v>
      </c>
      <c r="K215" s="2" t="n">
        <v>1.049</v>
      </c>
      <c r="L215" s="2" t="n">
        <v>16</v>
      </c>
      <c r="M215" s="2" t="s">
        <v>27</v>
      </c>
      <c r="N215" s="3" t="n">
        <v>22.86</v>
      </c>
      <c r="O215" s="3" t="n">
        <v>-4.3762</v>
      </c>
      <c r="P215" s="3" t="n">
        <v>153.2</v>
      </c>
      <c r="Q215" s="3" t="s">
        <v>629</v>
      </c>
      <c r="R215" s="2"/>
      <c r="S215" s="2" t="s">
        <v>89</v>
      </c>
      <c r="T215" s="4" t="n">
        <f aca="false">DATE(VALUE(MID(C215,7,4)),VALUE(MID(C215,4,2)),VALUE(MID(C215,1,2)))+TIME(VALUE(MID(C215,12,2)),VALUE(MID(C215,15,2)),0)</f>
        <v>43167.7354166667</v>
      </c>
      <c r="U215" s="2" t="str">
        <f aca="false">IF(AND(ISNUMBER(VALUE(MID(A215,7,1))),ISNUMBER(SEARCH("km",A215)),ISNUMBER(SEARCH("of",A215))),"Distance-location","Named-region")</f>
        <v>Named-region</v>
      </c>
      <c r="V215" s="2" t="str">
        <f aca="false">LOWER(M215)</f>
        <v>mww</v>
      </c>
      <c r="W215" s="5" t="str">
        <f aca="false">IF(COUNTIFS($A$2:$A$1001,A215,$C$2:$C$1001,C215)&gt;1,"Duplicate","Unique")</f>
        <v>Unique</v>
      </c>
    </row>
    <row r="216" customFormat="false" ht="15" hidden="false" customHeight="false" outlineLevel="0" collapsed="false">
      <c r="A216" s="2" t="s">
        <v>630</v>
      </c>
      <c r="B216" s="3" t="n">
        <v>6.7</v>
      </c>
      <c r="C216" s="2" t="s">
        <v>631</v>
      </c>
      <c r="D216" s="2" t="n">
        <v>8</v>
      </c>
      <c r="E216" s="2" t="n">
        <v>7</v>
      </c>
      <c r="F216" s="2" t="s">
        <v>25</v>
      </c>
      <c r="G216" s="2" t="n">
        <v>1</v>
      </c>
      <c r="H216" s="2" t="n">
        <v>697</v>
      </c>
      <c r="I216" s="2" t="s">
        <v>26</v>
      </c>
      <c r="J216" s="2" t="n">
        <v>0</v>
      </c>
      <c r="K216" s="2" t="n">
        <v>5.457</v>
      </c>
      <c r="L216" s="2" t="n">
        <v>19</v>
      </c>
      <c r="M216" s="2" t="s">
        <v>27</v>
      </c>
      <c r="N216" s="3" t="n">
        <v>20.49</v>
      </c>
      <c r="O216" s="3" t="n">
        <v>-6.3043</v>
      </c>
      <c r="P216" s="3" t="n">
        <v>142.612</v>
      </c>
      <c r="Q216" s="3" t="s">
        <v>632</v>
      </c>
      <c r="R216" s="2"/>
      <c r="S216" s="2" t="s">
        <v>89</v>
      </c>
      <c r="T216" s="4" t="n">
        <f aca="false">DATE(VALUE(MID(C216,7,4)),VALUE(MID(C216,4,2)),VALUE(MID(C216,1,2)))+TIME(VALUE(MID(C216,12,2)),VALUE(MID(C216,15,2)),0)</f>
        <v>43165.5923611111</v>
      </c>
      <c r="U216" s="2" t="str">
        <f aca="false">IF(AND(ISNUMBER(VALUE(MID(A216,7,1))),ISNUMBER(SEARCH("km",A216)),ISNUMBER(SEARCH("of",A216))),"Distance-location","Named-region")</f>
        <v>Named-region</v>
      </c>
      <c r="V216" s="2" t="str">
        <f aca="false">LOWER(M216)</f>
        <v>mww</v>
      </c>
      <c r="W216" s="5" t="str">
        <f aca="false">IF(COUNTIFS($A$2:$A$1001,A216,$C$2:$C$1001,C216)&gt;1,"Duplicate","Unique")</f>
        <v>Unique</v>
      </c>
    </row>
    <row r="217" customFormat="false" ht="15" hidden="false" customHeight="false" outlineLevel="0" collapsed="false">
      <c r="A217" s="2" t="s">
        <v>633</v>
      </c>
      <c r="B217" s="3" t="n">
        <v>7.5</v>
      </c>
      <c r="C217" s="2" t="s">
        <v>634</v>
      </c>
      <c r="D217" s="2" t="n">
        <v>9</v>
      </c>
      <c r="E217" s="2" t="n">
        <v>8</v>
      </c>
      <c r="F217" s="2" t="s">
        <v>32</v>
      </c>
      <c r="G217" s="2" t="n">
        <v>1</v>
      </c>
      <c r="H217" s="2" t="n">
        <v>943</v>
      </c>
      <c r="I217" s="2" t="s">
        <v>26</v>
      </c>
      <c r="J217" s="2" t="n">
        <v>0</v>
      </c>
      <c r="K217" s="2" t="n">
        <v>5.48</v>
      </c>
      <c r="L217" s="2" t="n">
        <v>17</v>
      </c>
      <c r="M217" s="2" t="s">
        <v>27</v>
      </c>
      <c r="N217" s="3" t="n">
        <v>25.21</v>
      </c>
      <c r="O217" s="3" t="n">
        <v>-6.0699</v>
      </c>
      <c r="P217" s="3" t="n">
        <v>142.754</v>
      </c>
      <c r="Q217" s="3" t="s">
        <v>632</v>
      </c>
      <c r="R217" s="2"/>
      <c r="S217" s="2" t="s">
        <v>89</v>
      </c>
      <c r="T217" s="4" t="n">
        <f aca="false">DATE(VALUE(MID(C217,7,4)),VALUE(MID(C217,4,2)),VALUE(MID(C217,1,2)))+TIME(VALUE(MID(C217,12,2)),VALUE(MID(C217,15,2)),0)</f>
        <v>43156.7388888889</v>
      </c>
      <c r="U217" s="2" t="str">
        <f aca="false">IF(AND(ISNUMBER(VALUE(MID(A217,7,1))),ISNUMBER(SEARCH("km",A217)),ISNUMBER(SEARCH("of",A217))),"Distance-location","Named-region")</f>
        <v>Named-region</v>
      </c>
      <c r="V217" s="2" t="str">
        <f aca="false">LOWER(M217)</f>
        <v>mww</v>
      </c>
      <c r="W217" s="5" t="str">
        <f aca="false">IF(COUNTIFS($A$2:$A$1001,A217,$C$2:$C$1001,C217)&gt;1,"Duplicate","Unique")</f>
        <v>Unique</v>
      </c>
    </row>
    <row r="218" customFormat="false" ht="15" hidden="false" customHeight="false" outlineLevel="0" collapsed="false">
      <c r="A218" s="2" t="s">
        <v>635</v>
      </c>
      <c r="B218" s="3" t="n">
        <v>7.2</v>
      </c>
      <c r="C218" s="2" t="s">
        <v>636</v>
      </c>
      <c r="D218" s="2" t="n">
        <v>7</v>
      </c>
      <c r="E218" s="2" t="n">
        <v>7</v>
      </c>
      <c r="F218" s="2" t="s">
        <v>32</v>
      </c>
      <c r="G218" s="2" t="n">
        <v>1</v>
      </c>
      <c r="H218" s="2" t="n">
        <v>1384</v>
      </c>
      <c r="I218" s="2" t="s">
        <v>26</v>
      </c>
      <c r="J218" s="2" t="n">
        <v>0</v>
      </c>
      <c r="K218" s="2" t="n">
        <v>0.142</v>
      </c>
      <c r="L218" s="2" t="n">
        <v>82</v>
      </c>
      <c r="M218" s="2" t="s">
        <v>27</v>
      </c>
      <c r="N218" s="3" t="n">
        <v>22</v>
      </c>
      <c r="O218" s="3" t="n">
        <v>16.3855</v>
      </c>
      <c r="P218" s="3" t="n">
        <v>-97.9787</v>
      </c>
      <c r="Q218" s="3" t="s">
        <v>637</v>
      </c>
      <c r="R218" s="2" t="s">
        <v>168</v>
      </c>
      <c r="S218" s="2" t="s">
        <v>169</v>
      </c>
      <c r="T218" s="4" t="n">
        <f aca="false">DATE(VALUE(MID(C218,7,4)),VALUE(MID(C218,4,2)),VALUE(MID(C218,1,2)))+TIME(VALUE(MID(C218,12,2)),VALUE(MID(C218,15,2)),0)</f>
        <v>43147.9854166667</v>
      </c>
      <c r="U218" s="2" t="str">
        <f aca="false">IF(AND(ISNUMBER(VALUE(MID(A218,7,1))),ISNUMBER(SEARCH("km",A218)),ISNUMBER(SEARCH("of",A218))),"Distance-location","Named-region")</f>
        <v>Named-region</v>
      </c>
      <c r="V218" s="2" t="str">
        <f aca="false">LOWER(M218)</f>
        <v>mww</v>
      </c>
      <c r="W218" s="5" t="str">
        <f aca="false">IF(COUNTIFS($A$2:$A$1001,A218,$C$2:$C$1001,C218)&gt;1,"Duplicate","Unique")</f>
        <v>Unique</v>
      </c>
    </row>
    <row r="219" customFormat="false" ht="15" hidden="false" customHeight="false" outlineLevel="0" collapsed="false">
      <c r="A219" s="2" t="s">
        <v>638</v>
      </c>
      <c r="B219" s="3" t="n">
        <v>7.9</v>
      </c>
      <c r="C219" s="2" t="s">
        <v>639</v>
      </c>
      <c r="D219" s="2" t="n">
        <v>9</v>
      </c>
      <c r="E219" s="2" t="n">
        <v>4</v>
      </c>
      <c r="F219" s="2" t="s">
        <v>25</v>
      </c>
      <c r="G219" s="2" t="n">
        <v>1</v>
      </c>
      <c r="H219" s="2" t="n">
        <v>1870</v>
      </c>
      <c r="I219" s="2" t="s">
        <v>26</v>
      </c>
      <c r="J219" s="2" t="n">
        <v>0</v>
      </c>
      <c r="K219" s="2" t="n">
        <v>2.585</v>
      </c>
      <c r="L219" s="2" t="n">
        <v>30</v>
      </c>
      <c r="M219" s="2" t="s">
        <v>27</v>
      </c>
      <c r="N219" s="3" t="n">
        <v>14.06</v>
      </c>
      <c r="O219" s="3" t="n">
        <v>56.0039</v>
      </c>
      <c r="P219" s="3" t="n">
        <v>-149.166</v>
      </c>
      <c r="Q219" s="3" t="s">
        <v>640</v>
      </c>
      <c r="R219" s="2"/>
      <c r="S219" s="2"/>
      <c r="T219" s="4" t="n">
        <f aca="false">DATE(VALUE(MID(C219,7,4)),VALUE(MID(C219,4,2)),VALUE(MID(C219,1,2)))+TIME(VALUE(MID(C219,12,2)),VALUE(MID(C219,15,2)),0)</f>
        <v>43123.3965277778</v>
      </c>
      <c r="U219" s="2" t="str">
        <f aca="false">IF(AND(ISNUMBER(VALUE(MID(A219,7,1))),ISNUMBER(SEARCH("km",A219)),ISNUMBER(SEARCH("of",A219))),"Distance-location","Named-region")</f>
        <v>Named-region</v>
      </c>
      <c r="V219" s="2" t="str">
        <f aca="false">LOWER(M219)</f>
        <v>mww</v>
      </c>
      <c r="W219" s="5" t="str">
        <f aca="false">IF(COUNTIFS($A$2:$A$1001,A219,$C$2:$C$1001,C219)&gt;1,"Duplicate","Unique")</f>
        <v>Unique</v>
      </c>
    </row>
    <row r="220" customFormat="false" ht="15" hidden="false" customHeight="false" outlineLevel="0" collapsed="false">
      <c r="A220" s="2" t="s">
        <v>641</v>
      </c>
      <c r="B220" s="3" t="n">
        <v>7.1</v>
      </c>
      <c r="C220" s="2" t="s">
        <v>642</v>
      </c>
      <c r="D220" s="2" t="n">
        <v>9</v>
      </c>
      <c r="E220" s="2" t="n">
        <v>7</v>
      </c>
      <c r="F220" s="2" t="s">
        <v>25</v>
      </c>
      <c r="G220" s="2" t="n">
        <v>1</v>
      </c>
      <c r="H220" s="2" t="n">
        <v>1075</v>
      </c>
      <c r="I220" s="2" t="s">
        <v>26</v>
      </c>
      <c r="J220" s="2" t="n">
        <v>0</v>
      </c>
      <c r="K220" s="2" t="n">
        <v>4.29</v>
      </c>
      <c r="L220" s="2" t="n">
        <v>23</v>
      </c>
      <c r="M220" s="2" t="s">
        <v>27</v>
      </c>
      <c r="N220" s="3" t="n">
        <v>39</v>
      </c>
      <c r="O220" s="3" t="n">
        <v>-15.7675</v>
      </c>
      <c r="P220" s="3" t="n">
        <v>-74.7092</v>
      </c>
      <c r="Q220" s="3" t="s">
        <v>643</v>
      </c>
      <c r="R220" s="2"/>
      <c r="S220" s="2" t="s">
        <v>203</v>
      </c>
      <c r="T220" s="4" t="n">
        <f aca="false">DATE(VALUE(MID(C220,7,4)),VALUE(MID(C220,4,2)),VALUE(MID(C220,1,2)))+TIME(VALUE(MID(C220,12,2)),VALUE(MID(C220,15,2)),0)</f>
        <v>43114.3875</v>
      </c>
      <c r="U220" s="2" t="str">
        <f aca="false">IF(AND(ISNUMBER(VALUE(MID(A220,7,1))),ISNUMBER(SEARCH("km",A220)),ISNUMBER(SEARCH("of",A220))),"Distance-location","Named-region")</f>
        <v>Named-region</v>
      </c>
      <c r="V220" s="2" t="str">
        <f aca="false">LOWER(M220)</f>
        <v>mww</v>
      </c>
      <c r="W220" s="5" t="str">
        <f aca="false">IF(COUNTIFS($A$2:$A$1001,A220,$C$2:$C$1001,C220)&gt;1,"Duplicate","Unique")</f>
        <v>Unique</v>
      </c>
    </row>
    <row r="221" customFormat="false" ht="15" hidden="false" customHeight="false" outlineLevel="0" collapsed="false">
      <c r="A221" s="2" t="s">
        <v>644</v>
      </c>
      <c r="B221" s="3" t="n">
        <v>7.5</v>
      </c>
      <c r="C221" s="2" t="s">
        <v>645</v>
      </c>
      <c r="D221" s="2" t="n">
        <v>8</v>
      </c>
      <c r="E221" s="2" t="n">
        <v>5</v>
      </c>
      <c r="F221" s="2" t="s">
        <v>25</v>
      </c>
      <c r="G221" s="2" t="n">
        <v>1</v>
      </c>
      <c r="H221" s="2" t="n">
        <v>1623</v>
      </c>
      <c r="I221" s="2" t="s">
        <v>26</v>
      </c>
      <c r="J221" s="2" t="n">
        <v>0</v>
      </c>
      <c r="K221" s="2" t="n">
        <v>4.581</v>
      </c>
      <c r="L221" s="2" t="n">
        <v>12</v>
      </c>
      <c r="M221" s="2" t="s">
        <v>27</v>
      </c>
      <c r="N221" s="3" t="n">
        <v>19</v>
      </c>
      <c r="O221" s="3" t="n">
        <v>17.4825</v>
      </c>
      <c r="P221" s="3" t="n">
        <v>-83.52</v>
      </c>
      <c r="Q221" s="3" t="s">
        <v>646</v>
      </c>
      <c r="R221" s="2"/>
      <c r="S221" s="2"/>
      <c r="T221" s="4" t="n">
        <f aca="false">DATE(VALUE(MID(C221,7,4)),VALUE(MID(C221,4,2)),VALUE(MID(C221,1,2)))+TIME(VALUE(MID(C221,12,2)),VALUE(MID(C221,15,2)),0)</f>
        <v>43110.11875</v>
      </c>
      <c r="U221" s="2" t="str">
        <f aca="false">IF(AND(ISNUMBER(VALUE(MID(A221,7,1))),ISNUMBER(SEARCH("km",A221)),ISNUMBER(SEARCH("of",A221))),"Distance-location","Named-region")</f>
        <v>Named-region</v>
      </c>
      <c r="V221" s="2" t="str">
        <f aca="false">LOWER(M221)</f>
        <v>mww</v>
      </c>
      <c r="W221" s="5" t="str">
        <f aca="false">IF(COUNTIFS($A$2:$A$1001,A221,$C$2:$C$1001,C221)&gt;1,"Duplicate","Unique")</f>
        <v>Unique</v>
      </c>
    </row>
    <row r="222" customFormat="false" ht="15" hidden="false" customHeight="false" outlineLevel="0" collapsed="false">
      <c r="A222" s="2" t="s">
        <v>647</v>
      </c>
      <c r="B222" s="3" t="n">
        <v>6.5</v>
      </c>
      <c r="C222" s="2" t="s">
        <v>648</v>
      </c>
      <c r="D222" s="2" t="n">
        <v>8</v>
      </c>
      <c r="E222" s="2" t="n">
        <v>7</v>
      </c>
      <c r="F222" s="2" t="s">
        <v>25</v>
      </c>
      <c r="G222" s="2" t="n">
        <v>0</v>
      </c>
      <c r="H222" s="2" t="n">
        <v>998</v>
      </c>
      <c r="I222" s="2" t="s">
        <v>26</v>
      </c>
      <c r="J222" s="2" t="n">
        <v>0</v>
      </c>
      <c r="K222" s="2" t="n">
        <v>2.365</v>
      </c>
      <c r="L222" s="2" t="n">
        <v>28</v>
      </c>
      <c r="M222" s="2" t="s">
        <v>27</v>
      </c>
      <c r="N222" s="3" t="n">
        <v>90</v>
      </c>
      <c r="O222" s="3" t="n">
        <v>-7.4921</v>
      </c>
      <c r="P222" s="3" t="n">
        <v>108.174</v>
      </c>
      <c r="Q222" s="3" t="s">
        <v>649</v>
      </c>
      <c r="R222" s="2"/>
      <c r="S222" s="2" t="s">
        <v>72</v>
      </c>
      <c r="T222" s="4" t="n">
        <f aca="false">DATE(VALUE(MID(C222,7,4)),VALUE(MID(C222,4,2)),VALUE(MID(C222,1,2)))+TIME(VALUE(MID(C222,12,2)),VALUE(MID(C222,15,2)),0)</f>
        <v>43084.6993055556</v>
      </c>
      <c r="U222" s="2" t="str">
        <f aca="false">IF(AND(ISNUMBER(VALUE(MID(A222,7,1))),ISNUMBER(SEARCH("km",A222)),ISNUMBER(SEARCH("of",A222))),"Distance-location","Named-region")</f>
        <v>Named-region</v>
      </c>
      <c r="V222" s="2" t="str">
        <f aca="false">LOWER(M222)</f>
        <v>mww</v>
      </c>
      <c r="W222" s="5" t="str">
        <f aca="false">IF(COUNTIFS($A$2:$A$1001,A222,$C$2:$C$1001,C222)&gt;1,"Duplicate","Unique")</f>
        <v>Unique</v>
      </c>
    </row>
    <row r="223" customFormat="false" ht="15" hidden="false" customHeight="false" outlineLevel="0" collapsed="false">
      <c r="A223" s="2" t="s">
        <v>650</v>
      </c>
      <c r="B223" s="3" t="n">
        <v>6.5</v>
      </c>
      <c r="C223" s="2" t="s">
        <v>651</v>
      </c>
      <c r="D223" s="2" t="n">
        <v>1</v>
      </c>
      <c r="E223" s="2" t="n">
        <v>5</v>
      </c>
      <c r="F223" s="2" t="s">
        <v>25</v>
      </c>
      <c r="G223" s="2" t="n">
        <v>1</v>
      </c>
      <c r="H223" s="2" t="n">
        <v>651</v>
      </c>
      <c r="I223" s="2" t="s">
        <v>26</v>
      </c>
      <c r="J223" s="2" t="n">
        <v>0</v>
      </c>
      <c r="K223" s="2" t="n">
        <v>17.654</v>
      </c>
      <c r="L223" s="2" t="n">
        <v>23</v>
      </c>
      <c r="M223" s="2" t="s">
        <v>27</v>
      </c>
      <c r="N223" s="3" t="n">
        <v>17</v>
      </c>
      <c r="O223" s="3" t="n">
        <v>-54.2189</v>
      </c>
      <c r="P223" s="3" t="n">
        <v>2.1628</v>
      </c>
      <c r="Q223" s="3" t="s">
        <v>652</v>
      </c>
      <c r="R223" s="2"/>
      <c r="S223" s="2"/>
      <c r="T223" s="4" t="n">
        <f aca="false">DATE(VALUE(MID(C223,7,4)),VALUE(MID(C223,4,2)),VALUE(MID(C223,1,2)))+TIME(VALUE(MID(C223,12,2)),VALUE(MID(C223,15,2)),0)</f>
        <v>43082.7520833333</v>
      </c>
      <c r="U223" s="2" t="str">
        <f aca="false">IF(AND(ISNUMBER(VALUE(MID(A223,7,1))),ISNUMBER(SEARCH("km",A223)),ISNUMBER(SEARCH("of",A223))),"Distance-location","Named-region")</f>
        <v>Named-region</v>
      </c>
      <c r="V223" s="2" t="str">
        <f aca="false">LOWER(M223)</f>
        <v>mww</v>
      </c>
      <c r="W223" s="5" t="str">
        <f aca="false">IF(COUNTIFS($A$2:$A$1001,A223,$C$2:$C$1001,C223)&gt;1,"Duplicate","Unique")</f>
        <v>Unique</v>
      </c>
    </row>
    <row r="224" customFormat="false" ht="15" hidden="false" customHeight="false" outlineLevel="0" collapsed="false">
      <c r="A224" s="2" t="s">
        <v>653</v>
      </c>
      <c r="B224" s="3" t="n">
        <v>7</v>
      </c>
      <c r="C224" s="2" t="s">
        <v>654</v>
      </c>
      <c r="D224" s="2" t="n">
        <v>4</v>
      </c>
      <c r="E224" s="2" t="n">
        <v>6</v>
      </c>
      <c r="F224" s="2" t="s">
        <v>25</v>
      </c>
      <c r="G224" s="2" t="n">
        <v>1</v>
      </c>
      <c r="H224" s="2" t="n">
        <v>771</v>
      </c>
      <c r="I224" s="2" t="s">
        <v>26</v>
      </c>
      <c r="J224" s="2" t="n">
        <v>0</v>
      </c>
      <c r="K224" s="2" t="n">
        <v>0.617</v>
      </c>
      <c r="L224" s="2" t="n">
        <v>14</v>
      </c>
      <c r="M224" s="2" t="s">
        <v>27</v>
      </c>
      <c r="N224" s="3" t="n">
        <v>10</v>
      </c>
      <c r="O224" s="3" t="n">
        <v>-21.3246</v>
      </c>
      <c r="P224" s="3" t="n">
        <v>168.671</v>
      </c>
      <c r="Q224" s="3" t="s">
        <v>215</v>
      </c>
      <c r="R224" s="2"/>
      <c r="S224" s="2"/>
      <c r="T224" s="4" t="n">
        <f aca="false">DATE(VALUE(MID(C224,7,4)),VALUE(MID(C224,4,2)),VALUE(MID(C224,1,2)))+TIME(VALUE(MID(C224,12,2)),VALUE(MID(C224,15,2)),0)</f>
        <v>43058.9465277778</v>
      </c>
      <c r="U224" s="2" t="str">
        <f aca="false">IF(AND(ISNUMBER(VALUE(MID(A224,7,1))),ISNUMBER(SEARCH("km",A224)),ISNUMBER(SEARCH("of",A224))),"Distance-location","Named-region")</f>
        <v>Named-region</v>
      </c>
      <c r="V224" s="2" t="str">
        <f aca="false">LOWER(M224)</f>
        <v>mww</v>
      </c>
      <c r="W224" s="5" t="str">
        <f aca="false">IF(COUNTIFS($A$2:$A$1001,A224,$C$2:$C$1001,C224)&gt;1,"Duplicate","Unique")</f>
        <v>Unique</v>
      </c>
    </row>
    <row r="225" customFormat="false" ht="15" hidden="false" customHeight="false" outlineLevel="0" collapsed="false">
      <c r="A225" s="2" t="s">
        <v>655</v>
      </c>
      <c r="B225" s="3" t="n">
        <v>6.6</v>
      </c>
      <c r="C225" s="2" t="s">
        <v>656</v>
      </c>
      <c r="D225" s="2" t="n">
        <v>4</v>
      </c>
      <c r="E225" s="2" t="n">
        <v>5</v>
      </c>
      <c r="F225" s="2" t="s">
        <v>25</v>
      </c>
      <c r="G225" s="2" t="n">
        <v>1</v>
      </c>
      <c r="H225" s="2" t="n">
        <v>676</v>
      </c>
      <c r="I225" s="2" t="s">
        <v>26</v>
      </c>
      <c r="J225" s="2" t="n">
        <v>0</v>
      </c>
      <c r="K225" s="2" t="n">
        <v>0.529</v>
      </c>
      <c r="L225" s="2" t="n">
        <v>21</v>
      </c>
      <c r="M225" s="2" t="s">
        <v>27</v>
      </c>
      <c r="N225" s="3" t="n">
        <v>13</v>
      </c>
      <c r="O225" s="3" t="n">
        <v>-21.5027</v>
      </c>
      <c r="P225" s="3" t="n">
        <v>168.598</v>
      </c>
      <c r="Q225" s="3" t="s">
        <v>215</v>
      </c>
      <c r="R225" s="2"/>
      <c r="S225" s="2"/>
      <c r="T225" s="4" t="n">
        <f aca="false">DATE(VALUE(MID(C225,7,4)),VALUE(MID(C225,4,2)),VALUE(MID(C225,1,2)))+TIME(VALUE(MID(C225,12,2)),VALUE(MID(C225,15,2)),0)</f>
        <v>43058.63125</v>
      </c>
      <c r="U225" s="2" t="str">
        <f aca="false">IF(AND(ISNUMBER(VALUE(MID(A225,7,1))),ISNUMBER(SEARCH("km",A225)),ISNUMBER(SEARCH("of",A225))),"Distance-location","Named-region")</f>
        <v>Named-region</v>
      </c>
      <c r="V225" s="2" t="str">
        <f aca="false">LOWER(M225)</f>
        <v>mww</v>
      </c>
      <c r="W225" s="5" t="str">
        <f aca="false">IF(COUNTIFS($A$2:$A$1001,A225,$C$2:$C$1001,C225)&gt;1,"Duplicate","Unique")</f>
        <v>Unique</v>
      </c>
    </row>
    <row r="226" customFormat="false" ht="15" hidden="false" customHeight="false" outlineLevel="0" collapsed="false">
      <c r="A226" s="2" t="s">
        <v>657</v>
      </c>
      <c r="B226" s="3" t="n">
        <v>6.5</v>
      </c>
      <c r="C226" s="2" t="s">
        <v>658</v>
      </c>
      <c r="D226" s="2" t="n">
        <v>8</v>
      </c>
      <c r="E226" s="2" t="n">
        <v>8</v>
      </c>
      <c r="F226" s="2" t="s">
        <v>32</v>
      </c>
      <c r="G226" s="2" t="n">
        <v>1</v>
      </c>
      <c r="H226" s="2" t="n">
        <v>1153</v>
      </c>
      <c r="I226" s="2" t="s">
        <v>26</v>
      </c>
      <c r="J226" s="2" t="n">
        <v>0</v>
      </c>
      <c r="K226" s="2" t="n">
        <v>0.225</v>
      </c>
      <c r="L226" s="2" t="n">
        <v>37</v>
      </c>
      <c r="M226" s="2" t="s">
        <v>27</v>
      </c>
      <c r="N226" s="3" t="n">
        <v>19.36</v>
      </c>
      <c r="O226" s="3" t="n">
        <v>9.5147</v>
      </c>
      <c r="P226" s="3" t="n">
        <v>-84.4865</v>
      </c>
      <c r="Q226" s="3" t="s">
        <v>659</v>
      </c>
      <c r="R226" s="2"/>
      <c r="S226" s="2" t="s">
        <v>660</v>
      </c>
      <c r="T226" s="4" t="n">
        <f aca="false">DATE(VALUE(MID(C226,7,4)),VALUE(MID(C226,4,2)),VALUE(MID(C226,1,2)))+TIME(VALUE(MID(C226,12,2)),VALUE(MID(C226,15,2)),0)</f>
        <v>43052.1027777778</v>
      </c>
      <c r="U226" s="2" t="str">
        <f aca="false">IF(AND(ISNUMBER(VALUE(MID(A226,7,1))),ISNUMBER(SEARCH("km",A226)),ISNUMBER(SEARCH("of",A226))),"Distance-location","Named-region")</f>
        <v>Named-region</v>
      </c>
      <c r="V226" s="2" t="str">
        <f aca="false">LOWER(M226)</f>
        <v>mww</v>
      </c>
      <c r="W226" s="5" t="str">
        <f aca="false">IF(COUNTIFS($A$2:$A$1001,A226,$C$2:$C$1001,C226)&gt;1,"Duplicate","Unique")</f>
        <v>Unique</v>
      </c>
    </row>
    <row r="227" customFormat="false" ht="15" hidden="false" customHeight="false" outlineLevel="0" collapsed="false">
      <c r="A227" s="2" t="s">
        <v>661</v>
      </c>
      <c r="B227" s="3" t="n">
        <v>7.3</v>
      </c>
      <c r="C227" s="2" t="s">
        <v>662</v>
      </c>
      <c r="D227" s="2" t="n">
        <v>8</v>
      </c>
      <c r="E227" s="2" t="n">
        <v>9</v>
      </c>
      <c r="F227" s="2" t="s">
        <v>125</v>
      </c>
      <c r="G227" s="2" t="n">
        <v>0</v>
      </c>
      <c r="H227" s="2" t="n">
        <v>2790</v>
      </c>
      <c r="I227" s="2" t="s">
        <v>26</v>
      </c>
      <c r="J227" s="2" t="n">
        <v>0</v>
      </c>
      <c r="K227" s="2" t="n">
        <v>0.284</v>
      </c>
      <c r="L227" s="2" t="n">
        <v>33</v>
      </c>
      <c r="M227" s="2" t="s">
        <v>27</v>
      </c>
      <c r="N227" s="3" t="n">
        <v>19</v>
      </c>
      <c r="O227" s="3" t="n">
        <v>34.9109</v>
      </c>
      <c r="P227" s="3" t="n">
        <v>45.9592</v>
      </c>
      <c r="Q227" s="3" t="s">
        <v>663</v>
      </c>
      <c r="R227" s="2" t="s">
        <v>84</v>
      </c>
      <c r="S227" s="2" t="s">
        <v>664</v>
      </c>
      <c r="T227" s="4" t="n">
        <f aca="false">DATE(VALUE(MID(C227,7,4)),VALUE(MID(C227,4,2)),VALUE(MID(C227,1,2)))+TIME(VALUE(MID(C227,12,2)),VALUE(MID(C227,15,2)),0)</f>
        <v>43051.7625</v>
      </c>
      <c r="U227" s="2" t="str">
        <f aca="false">IF(AND(ISNUMBER(VALUE(MID(A227,7,1))),ISNUMBER(SEARCH("km",A227)),ISNUMBER(SEARCH("of",A227))),"Distance-location","Named-region")</f>
        <v>Named-region</v>
      </c>
      <c r="V227" s="2" t="str">
        <f aca="false">LOWER(M227)</f>
        <v>mww</v>
      </c>
      <c r="W227" s="5" t="str">
        <f aca="false">IF(COUNTIFS($A$2:$A$1001,A227,$C$2:$C$1001,C227)&gt;1,"Duplicate","Unique")</f>
        <v>Unique</v>
      </c>
    </row>
    <row r="228" customFormat="false" ht="15" hidden="false" customHeight="false" outlineLevel="0" collapsed="false">
      <c r="A228" s="2" t="s">
        <v>665</v>
      </c>
      <c r="B228" s="3" t="n">
        <v>6.5</v>
      </c>
      <c r="C228" s="2" t="s">
        <v>666</v>
      </c>
      <c r="D228" s="2" t="n">
        <v>6</v>
      </c>
      <c r="E228" s="2" t="n">
        <v>5</v>
      </c>
      <c r="F228" s="2" t="s">
        <v>25</v>
      </c>
      <c r="G228" s="2" t="n">
        <v>1</v>
      </c>
      <c r="H228" s="2" t="n">
        <v>661</v>
      </c>
      <c r="I228" s="2" t="s">
        <v>26</v>
      </c>
      <c r="J228" s="2" t="n">
        <v>0</v>
      </c>
      <c r="K228" s="2" t="n">
        <v>4.449</v>
      </c>
      <c r="L228" s="2" t="n">
        <v>10</v>
      </c>
      <c r="M228" s="2" t="s">
        <v>27</v>
      </c>
      <c r="N228" s="3" t="n">
        <v>110.57</v>
      </c>
      <c r="O228" s="3" t="n">
        <v>-4.2433</v>
      </c>
      <c r="P228" s="3" t="n">
        <v>143.485</v>
      </c>
      <c r="Q228" s="3" t="s">
        <v>667</v>
      </c>
      <c r="R228" s="2"/>
      <c r="S228" s="2" t="s">
        <v>89</v>
      </c>
      <c r="T228" s="4" t="n">
        <f aca="false">DATE(VALUE(MID(C228,7,4)),VALUE(MID(C228,4,2)),VALUE(MID(C228,1,2)))+TIME(VALUE(MID(C228,12,2)),VALUE(MID(C228,15,2)),0)</f>
        <v>43046.8930555556</v>
      </c>
      <c r="U228" s="2" t="str">
        <f aca="false">IF(AND(ISNUMBER(VALUE(MID(A228,7,1))),ISNUMBER(SEARCH("km",A228)),ISNUMBER(SEARCH("of",A228))),"Distance-location","Named-region")</f>
        <v>Named-region</v>
      </c>
      <c r="V228" s="2" t="str">
        <f aca="false">LOWER(M228)</f>
        <v>mww</v>
      </c>
      <c r="W228" s="5" t="str">
        <f aca="false">IF(COUNTIFS($A$2:$A$1001,A228,$C$2:$C$1001,C228)&gt;1,"Duplicate","Unique")</f>
        <v>Unique</v>
      </c>
    </row>
    <row r="229" customFormat="false" ht="15" hidden="false" customHeight="false" outlineLevel="0" collapsed="false">
      <c r="A229" s="2" t="s">
        <v>668</v>
      </c>
      <c r="B229" s="3" t="n">
        <v>6.8</v>
      </c>
      <c r="C229" s="2" t="s">
        <v>669</v>
      </c>
      <c r="D229" s="2" t="n">
        <v>5</v>
      </c>
      <c r="E229" s="2" t="n">
        <v>5</v>
      </c>
      <c r="F229" s="2" t="s">
        <v>25</v>
      </c>
      <c r="G229" s="2" t="n">
        <v>1</v>
      </c>
      <c r="H229" s="2" t="n">
        <v>727</v>
      </c>
      <c r="I229" s="2" t="s">
        <v>26</v>
      </c>
      <c r="J229" s="2" t="n">
        <v>0</v>
      </c>
      <c r="K229" s="2" t="n">
        <v>4.852</v>
      </c>
      <c r="L229" s="2" t="n">
        <v>21</v>
      </c>
      <c r="M229" s="2" t="s">
        <v>27</v>
      </c>
      <c r="N229" s="3" t="n">
        <v>10</v>
      </c>
      <c r="O229" s="3" t="n">
        <v>-15.3197</v>
      </c>
      <c r="P229" s="3" t="n">
        <v>-173.168</v>
      </c>
      <c r="Q229" s="3" t="s">
        <v>66</v>
      </c>
      <c r="R229" s="2"/>
      <c r="S229" s="2"/>
      <c r="T229" s="4" t="n">
        <f aca="false">DATE(VALUE(MID(C229,7,4)),VALUE(MID(C229,4,2)),VALUE(MID(C229,1,2)))+TIME(VALUE(MID(C229,12,2)),VALUE(MID(C229,15,2)),0)</f>
        <v>43043.375</v>
      </c>
      <c r="U229" s="2" t="str">
        <f aca="false">IF(AND(ISNUMBER(VALUE(MID(A229,7,1))),ISNUMBER(SEARCH("km",A229)),ISNUMBER(SEARCH("of",A229))),"Distance-location","Named-region")</f>
        <v>Named-region</v>
      </c>
      <c r="V229" s="2" t="str">
        <f aca="false">LOWER(M229)</f>
        <v>mww</v>
      </c>
      <c r="W229" s="5" t="str">
        <f aca="false">IF(COUNTIFS($A$2:$A$1001,A229,$C$2:$C$1001,C229)&gt;1,"Duplicate","Unique")</f>
        <v>Unique</v>
      </c>
    </row>
    <row r="230" customFormat="false" ht="15" hidden="false" customHeight="false" outlineLevel="0" collapsed="false">
      <c r="A230" s="2" t="s">
        <v>670</v>
      </c>
      <c r="B230" s="3" t="n">
        <v>6.6</v>
      </c>
      <c r="C230" s="2" t="s">
        <v>671</v>
      </c>
      <c r="D230" s="2" t="n">
        <v>3</v>
      </c>
      <c r="E230" s="2" t="n">
        <v>5</v>
      </c>
      <c r="F230" s="2" t="s">
        <v>25</v>
      </c>
      <c r="G230" s="2" t="n">
        <v>1</v>
      </c>
      <c r="H230" s="2" t="n">
        <v>674</v>
      </c>
      <c r="I230" s="2" t="s">
        <v>26</v>
      </c>
      <c r="J230" s="2" t="n">
        <v>0</v>
      </c>
      <c r="K230" s="2" t="n">
        <v>0.788</v>
      </c>
      <c r="L230" s="2" t="n">
        <v>29</v>
      </c>
      <c r="M230" s="2" t="s">
        <v>27</v>
      </c>
      <c r="N230" s="3" t="n">
        <v>22</v>
      </c>
      <c r="O230" s="3" t="n">
        <v>-21.6484</v>
      </c>
      <c r="P230" s="3" t="n">
        <v>168.859</v>
      </c>
      <c r="Q230" s="3" t="s">
        <v>215</v>
      </c>
      <c r="R230" s="2"/>
      <c r="S230" s="2"/>
      <c r="T230" s="4" t="n">
        <f aca="false">DATE(VALUE(MID(C230,7,4)),VALUE(MID(C230,4,2)),VALUE(MID(C230,1,2)))+TIME(VALUE(MID(C230,12,2)),VALUE(MID(C230,15,2)),0)</f>
        <v>43040.0993055556</v>
      </c>
      <c r="U230" s="2" t="str">
        <f aca="false">IF(AND(ISNUMBER(VALUE(MID(A230,7,1))),ISNUMBER(SEARCH("km",A230)),ISNUMBER(SEARCH("of",A230))),"Distance-location","Named-region")</f>
        <v>Named-region</v>
      </c>
      <c r="V230" s="2" t="str">
        <f aca="false">LOWER(M230)</f>
        <v>mww</v>
      </c>
      <c r="W230" s="5" t="str">
        <f aca="false">IF(COUNTIFS($A$2:$A$1001,A230,$C$2:$C$1001,C230)&gt;1,"Duplicate","Unique")</f>
        <v>Unique</v>
      </c>
    </row>
    <row r="231" customFormat="false" ht="15" hidden="false" customHeight="false" outlineLevel="0" collapsed="false">
      <c r="A231" s="2" t="s">
        <v>672</v>
      </c>
      <c r="B231" s="3" t="n">
        <v>6.7</v>
      </c>
      <c r="C231" s="2" t="s">
        <v>673</v>
      </c>
      <c r="D231" s="2" t="n">
        <v>3</v>
      </c>
      <c r="E231" s="2" t="n">
        <v>4</v>
      </c>
      <c r="F231" s="2" t="s">
        <v>25</v>
      </c>
      <c r="G231" s="2" t="n">
        <v>1</v>
      </c>
      <c r="H231" s="2" t="n">
        <v>691</v>
      </c>
      <c r="I231" s="2" t="s">
        <v>26</v>
      </c>
      <c r="J231" s="2" t="n">
        <v>0</v>
      </c>
      <c r="K231" s="2" t="n">
        <v>1.062</v>
      </c>
      <c r="L231" s="2" t="n">
        <v>55</v>
      </c>
      <c r="M231" s="2" t="s">
        <v>27</v>
      </c>
      <c r="N231" s="3" t="n">
        <v>24</v>
      </c>
      <c r="O231" s="3" t="n">
        <v>-21.6971</v>
      </c>
      <c r="P231" s="3" t="n">
        <v>169.148</v>
      </c>
      <c r="Q231" s="3" t="s">
        <v>215</v>
      </c>
      <c r="R231" s="2"/>
      <c r="S231" s="2"/>
      <c r="T231" s="4" t="n">
        <f aca="false">DATE(VALUE(MID(C231,7,4)),VALUE(MID(C231,4,2)),VALUE(MID(C231,1,2)))+TIME(VALUE(MID(C231,12,2)),VALUE(MID(C231,15,2)),0)</f>
        <v>43039.0291666667</v>
      </c>
      <c r="U231" s="2" t="str">
        <f aca="false">IF(AND(ISNUMBER(VALUE(MID(A231,7,1))),ISNUMBER(SEARCH("km",A231)),ISNUMBER(SEARCH("of",A231))),"Distance-location","Named-region")</f>
        <v>Named-region</v>
      </c>
      <c r="V231" s="2" t="str">
        <f aca="false">LOWER(M231)</f>
        <v>mww</v>
      </c>
      <c r="W231" s="5" t="str">
        <f aca="false">IF(COUNTIFS($A$2:$A$1001,A231,$C$2:$C$1001,C231)&gt;1,"Duplicate","Unique")</f>
        <v>Unique</v>
      </c>
    </row>
    <row r="232" customFormat="false" ht="15" hidden="false" customHeight="false" outlineLevel="0" collapsed="false">
      <c r="A232" s="2" t="s">
        <v>674</v>
      </c>
      <c r="B232" s="3" t="n">
        <v>6.7</v>
      </c>
      <c r="C232" s="2" t="s">
        <v>675</v>
      </c>
      <c r="D232" s="2" t="n">
        <v>3</v>
      </c>
      <c r="E232" s="2" t="n">
        <v>3</v>
      </c>
      <c r="F232" s="2" t="s">
        <v>25</v>
      </c>
      <c r="G232" s="2" t="n">
        <v>0</v>
      </c>
      <c r="H232" s="2" t="n">
        <v>694</v>
      </c>
      <c r="I232" s="2" t="s">
        <v>26</v>
      </c>
      <c r="J232" s="2" t="n">
        <v>0</v>
      </c>
      <c r="K232" s="2" t="n">
        <v>1.634</v>
      </c>
      <c r="L232" s="2" t="n">
        <v>16</v>
      </c>
      <c r="M232" s="2" t="s">
        <v>27</v>
      </c>
      <c r="N232" s="3" t="n">
        <v>553.81</v>
      </c>
      <c r="O232" s="3" t="n">
        <v>-7.2168</v>
      </c>
      <c r="P232" s="3" t="n">
        <v>123.074</v>
      </c>
      <c r="Q232" s="3" t="s">
        <v>676</v>
      </c>
      <c r="R232" s="2"/>
      <c r="S232" s="2" t="s">
        <v>72</v>
      </c>
      <c r="T232" s="4" t="n">
        <f aca="false">DATE(VALUE(MID(C232,7,4)),VALUE(MID(C232,4,2)),VALUE(MID(C232,1,2)))+TIME(VALUE(MID(C232,12,2)),VALUE(MID(C232,15,2)),0)</f>
        <v>43032.4493055556</v>
      </c>
      <c r="U232" s="2" t="str">
        <f aca="false">IF(AND(ISNUMBER(VALUE(MID(A232,7,1))),ISNUMBER(SEARCH("km",A232)),ISNUMBER(SEARCH("of",A232))),"Distance-location","Named-region")</f>
        <v>Named-region</v>
      </c>
      <c r="V232" s="2" t="str">
        <f aca="false">LOWER(M232)</f>
        <v>mww</v>
      </c>
      <c r="W232" s="5" t="str">
        <f aca="false">IF(COUNTIFS($A$2:$A$1001,A232,$C$2:$C$1001,C232)&gt;1,"Duplicate","Unique")</f>
        <v>Unique</v>
      </c>
    </row>
    <row r="233" customFormat="false" ht="15" hidden="false" customHeight="false" outlineLevel="0" collapsed="false">
      <c r="A233" s="2" t="s">
        <v>677</v>
      </c>
      <c r="B233" s="3" t="n">
        <v>6.5</v>
      </c>
      <c r="C233" s="2" t="s">
        <v>678</v>
      </c>
      <c r="D233" s="2" t="n">
        <v>3</v>
      </c>
      <c r="E233" s="2" t="n">
        <v>5</v>
      </c>
      <c r="F233" s="2" t="s">
        <v>25</v>
      </c>
      <c r="G233" s="2" t="n">
        <v>1</v>
      </c>
      <c r="H233" s="2" t="n">
        <v>651</v>
      </c>
      <c r="I233" s="2" t="s">
        <v>26</v>
      </c>
      <c r="J233" s="2" t="n">
        <v>0</v>
      </c>
      <c r="K233" s="2" t="n">
        <v>1.154</v>
      </c>
      <c r="L233" s="2" t="n">
        <v>11</v>
      </c>
      <c r="M233" s="2" t="s">
        <v>27</v>
      </c>
      <c r="N233" s="3" t="n">
        <v>119</v>
      </c>
      <c r="O233" s="3" t="n">
        <v>52.3909</v>
      </c>
      <c r="P233" s="3" t="n">
        <v>176.769</v>
      </c>
      <c r="Q233" s="3" t="s">
        <v>679</v>
      </c>
      <c r="R233" s="2" t="s">
        <v>168</v>
      </c>
      <c r="S233" s="2"/>
      <c r="T233" s="4" t="n">
        <f aca="false">DATE(VALUE(MID(C233,7,4)),VALUE(MID(C233,4,2)),VALUE(MID(C233,1,2)))+TIME(VALUE(MID(C233,12,2)),VALUE(MID(C233,15,2)),0)</f>
        <v>43016.9402777778</v>
      </c>
      <c r="U233" s="2" t="str">
        <f aca="false">IF(AND(ISNUMBER(VALUE(MID(A233,7,1))),ISNUMBER(SEARCH("km",A233)),ISNUMBER(SEARCH("of",A233))),"Distance-location","Named-region")</f>
        <v>Named-region</v>
      </c>
      <c r="V233" s="2" t="str">
        <f aca="false">LOWER(M233)</f>
        <v>mww</v>
      </c>
      <c r="W233" s="5" t="str">
        <f aca="false">IF(COUNTIFS($A$2:$A$1001,A233,$C$2:$C$1001,C233)&gt;1,"Duplicate","Unique")</f>
        <v>Unique</v>
      </c>
    </row>
    <row r="234" customFormat="false" ht="15" hidden="false" customHeight="false" outlineLevel="0" collapsed="false">
      <c r="A234" s="2" t="s">
        <v>680</v>
      </c>
      <c r="B234" s="3" t="n">
        <v>7.1</v>
      </c>
      <c r="C234" s="2" t="s">
        <v>681</v>
      </c>
      <c r="D234" s="2" t="n">
        <v>9</v>
      </c>
      <c r="E234" s="2" t="n">
        <v>8</v>
      </c>
      <c r="F234" s="2"/>
      <c r="G234" s="2" t="n">
        <v>0</v>
      </c>
      <c r="H234" s="2" t="n">
        <v>1686</v>
      </c>
      <c r="I234" s="2" t="s">
        <v>26</v>
      </c>
      <c r="J234" s="2" t="n">
        <v>0</v>
      </c>
      <c r="K234" s="2" t="n">
        <v>0.984</v>
      </c>
      <c r="L234" s="2" t="n">
        <v>23</v>
      </c>
      <c r="M234" s="2" t="s">
        <v>27</v>
      </c>
      <c r="N234" s="3" t="n">
        <v>48</v>
      </c>
      <c r="O234" s="3" t="n">
        <v>18.5499</v>
      </c>
      <c r="P234" s="3" t="n">
        <v>-98.4887</v>
      </c>
      <c r="Q234" s="3" t="s">
        <v>682</v>
      </c>
      <c r="R234" s="2" t="s">
        <v>168</v>
      </c>
      <c r="S234" s="2" t="s">
        <v>169</v>
      </c>
      <c r="T234" s="4" t="n">
        <f aca="false">DATE(VALUE(MID(C234,7,4)),VALUE(MID(C234,4,2)),VALUE(MID(C234,1,2)))+TIME(VALUE(MID(C234,12,2)),VALUE(MID(C234,15,2)),0)</f>
        <v>42997.7597222222</v>
      </c>
      <c r="U234" s="2" t="str">
        <f aca="false">IF(AND(ISNUMBER(VALUE(MID(A234,7,1))),ISNUMBER(SEARCH("km",A234)),ISNUMBER(SEARCH("of",A234))),"Distance-location","Named-region")</f>
        <v>Named-region</v>
      </c>
      <c r="V234" s="2" t="str">
        <f aca="false">LOWER(M234)</f>
        <v>mww</v>
      </c>
      <c r="W234" s="5" t="str">
        <f aca="false">IF(COUNTIFS($A$2:$A$1001,A234,$C$2:$C$1001,C234)&gt;1,"Duplicate","Unique")</f>
        <v>Unique</v>
      </c>
    </row>
    <row r="235" customFormat="false" ht="15" hidden="false" customHeight="false" outlineLevel="0" collapsed="false">
      <c r="A235" s="2" t="s">
        <v>683</v>
      </c>
      <c r="B235" s="3" t="n">
        <v>8.2</v>
      </c>
      <c r="C235" s="2" t="s">
        <v>684</v>
      </c>
      <c r="D235" s="2" t="n">
        <v>9</v>
      </c>
      <c r="E235" s="2" t="n">
        <v>7</v>
      </c>
      <c r="F235" s="2" t="s">
        <v>125</v>
      </c>
      <c r="G235" s="2" t="n">
        <v>1</v>
      </c>
      <c r="H235" s="2" t="n">
        <v>2910</v>
      </c>
      <c r="I235" s="2" t="s">
        <v>26</v>
      </c>
      <c r="J235" s="2" t="n">
        <v>0</v>
      </c>
      <c r="K235" s="2" t="n">
        <v>0.944</v>
      </c>
      <c r="L235" s="2" t="n">
        <v>22</v>
      </c>
      <c r="M235" s="2" t="s">
        <v>27</v>
      </c>
      <c r="N235" s="3" t="n">
        <v>47.39</v>
      </c>
      <c r="O235" s="3" t="n">
        <v>15.0222</v>
      </c>
      <c r="P235" s="3" t="n">
        <v>-93.8993</v>
      </c>
      <c r="Q235" s="3" t="s">
        <v>685</v>
      </c>
      <c r="R235" s="2"/>
      <c r="S235" s="2"/>
      <c r="T235" s="4" t="n">
        <f aca="false">DATE(VALUE(MID(C235,7,4)),VALUE(MID(C235,4,2)),VALUE(MID(C235,1,2)))+TIME(VALUE(MID(C235,12,2)),VALUE(MID(C235,15,2)),0)</f>
        <v>42986.2006944444</v>
      </c>
      <c r="U235" s="2" t="str">
        <f aca="false">IF(AND(ISNUMBER(VALUE(MID(A235,7,1))),ISNUMBER(SEARCH("km",A235)),ISNUMBER(SEARCH("of",A235))),"Distance-location","Named-region")</f>
        <v>Named-region</v>
      </c>
      <c r="V235" s="2" t="str">
        <f aca="false">LOWER(M235)</f>
        <v>mww</v>
      </c>
      <c r="W235" s="5" t="str">
        <f aca="false">IF(COUNTIFS($A$2:$A$1001,A235,$C$2:$C$1001,C235)&gt;1,"Duplicate","Unique")</f>
        <v>Unique</v>
      </c>
    </row>
    <row r="236" customFormat="false" ht="15" hidden="false" customHeight="false" outlineLevel="0" collapsed="false">
      <c r="A236" s="2" t="s">
        <v>686</v>
      </c>
      <c r="B236" s="3" t="n">
        <v>6.5</v>
      </c>
      <c r="C236" s="2" t="s">
        <v>687</v>
      </c>
      <c r="D236" s="2" t="n">
        <v>5</v>
      </c>
      <c r="E236" s="2" t="n">
        <v>7</v>
      </c>
      <c r="F236" s="2" t="s">
        <v>32</v>
      </c>
      <c r="G236" s="2" t="n">
        <v>0</v>
      </c>
      <c r="H236" s="2" t="n">
        <v>707</v>
      </c>
      <c r="I236" s="2" t="s">
        <v>26</v>
      </c>
      <c r="J236" s="2" t="n">
        <v>0</v>
      </c>
      <c r="K236" s="2" t="n">
        <v>11.411</v>
      </c>
      <c r="L236" s="2" t="n">
        <v>22</v>
      </c>
      <c r="M236" s="2" t="s">
        <v>27</v>
      </c>
      <c r="N236" s="3" t="n">
        <v>9</v>
      </c>
      <c r="O236" s="3" t="n">
        <v>33.1926</v>
      </c>
      <c r="P236" s="3" t="n">
        <v>103.855</v>
      </c>
      <c r="Q236" s="3" t="s">
        <v>688</v>
      </c>
      <c r="R236" s="2" t="s">
        <v>84</v>
      </c>
      <c r="S236" s="2" t="s">
        <v>188</v>
      </c>
      <c r="T236" s="4" t="n">
        <f aca="false">DATE(VALUE(MID(C236,7,4)),VALUE(MID(C236,4,2)),VALUE(MID(C236,1,2)))+TIME(VALUE(MID(C236,12,2)),VALUE(MID(C236,15,2)),0)</f>
        <v>42955.5548611111</v>
      </c>
      <c r="U236" s="2" t="str">
        <f aca="false">IF(AND(ISNUMBER(VALUE(MID(A236,7,1))),ISNUMBER(SEARCH("km",A236)),ISNUMBER(SEARCH("of",A236))),"Distance-location","Named-region")</f>
        <v>Named-region</v>
      </c>
      <c r="V236" s="2" t="str">
        <f aca="false">LOWER(M236)</f>
        <v>mww</v>
      </c>
      <c r="W236" s="5" t="str">
        <f aca="false">IF(COUNTIFS($A$2:$A$1001,A236,$C$2:$C$1001,C236)&gt;1,"Duplicate","Unique")</f>
        <v>Unique</v>
      </c>
    </row>
    <row r="237" customFormat="false" ht="15" hidden="false" customHeight="false" outlineLevel="0" collapsed="false">
      <c r="A237" s="2" t="s">
        <v>689</v>
      </c>
      <c r="B237" s="3" t="n">
        <v>6.6</v>
      </c>
      <c r="C237" s="2" t="s">
        <v>690</v>
      </c>
      <c r="D237" s="2" t="n">
        <v>7</v>
      </c>
      <c r="E237" s="2" t="n">
        <v>7</v>
      </c>
      <c r="F237" s="2" t="s">
        <v>32</v>
      </c>
      <c r="G237" s="2" t="n">
        <v>0</v>
      </c>
      <c r="H237" s="2" t="n">
        <v>1064</v>
      </c>
      <c r="I237" s="2" t="s">
        <v>26</v>
      </c>
      <c r="J237" s="2" t="n">
        <v>0</v>
      </c>
      <c r="K237" s="2" t="n">
        <v>0.913</v>
      </c>
      <c r="L237" s="2" t="n">
        <v>16</v>
      </c>
      <c r="M237" s="2" t="s">
        <v>27</v>
      </c>
      <c r="N237" s="3" t="n">
        <v>7</v>
      </c>
      <c r="O237" s="3" t="n">
        <v>36.9293</v>
      </c>
      <c r="P237" s="3" t="n">
        <v>27.4139</v>
      </c>
      <c r="Q237" s="3" t="s">
        <v>691</v>
      </c>
      <c r="R237" s="2" t="s">
        <v>84</v>
      </c>
      <c r="S237" s="2" t="s">
        <v>439</v>
      </c>
      <c r="T237" s="4" t="n">
        <f aca="false">DATE(VALUE(MID(C237,7,4)),VALUE(MID(C237,4,2)),VALUE(MID(C237,1,2)))+TIME(VALUE(MID(C237,12,2)),VALUE(MID(C237,15,2)),0)</f>
        <v>42936.9381944445</v>
      </c>
      <c r="U237" s="2" t="str">
        <f aca="false">IF(AND(ISNUMBER(VALUE(MID(A237,7,1))),ISNUMBER(SEARCH("km",A237)),ISNUMBER(SEARCH("of",A237))),"Distance-location","Named-region")</f>
        <v>Named-region</v>
      </c>
      <c r="V237" s="2" t="str">
        <f aca="false">LOWER(M237)</f>
        <v>mww</v>
      </c>
      <c r="W237" s="5" t="str">
        <f aca="false">IF(COUNTIFS($A$2:$A$1001,A237,$C$2:$C$1001,C237)&gt;1,"Duplicate","Unique")</f>
        <v>Unique</v>
      </c>
    </row>
    <row r="238" customFormat="false" ht="28.35" hidden="false" customHeight="false" outlineLevel="0" collapsed="false">
      <c r="A238" s="2" t="s">
        <v>692</v>
      </c>
      <c r="B238" s="3" t="n">
        <v>7.7</v>
      </c>
      <c r="C238" s="2" t="s">
        <v>693</v>
      </c>
      <c r="D238" s="2" t="n">
        <v>8</v>
      </c>
      <c r="E238" s="2" t="n">
        <v>7</v>
      </c>
      <c r="F238" s="2" t="s">
        <v>25</v>
      </c>
      <c r="G238" s="2" t="n">
        <v>1</v>
      </c>
      <c r="H238" s="2" t="n">
        <v>918</v>
      </c>
      <c r="I238" s="2" t="s">
        <v>26</v>
      </c>
      <c r="J238" s="2" t="n">
        <v>0</v>
      </c>
      <c r="K238" s="2" t="n">
        <v>3.564</v>
      </c>
      <c r="L238" s="2" t="n">
        <v>13</v>
      </c>
      <c r="M238" s="2" t="s">
        <v>27</v>
      </c>
      <c r="N238" s="3" t="n">
        <v>10</v>
      </c>
      <c r="O238" s="3" t="n">
        <v>54.4434</v>
      </c>
      <c r="P238" s="3" t="n">
        <v>168.857</v>
      </c>
      <c r="Q238" s="3" t="s">
        <v>694</v>
      </c>
      <c r="R238" s="2"/>
      <c r="S238" s="2"/>
      <c r="T238" s="4" t="n">
        <f aca="false">DATE(VALUE(MID(C238,7,4)),VALUE(MID(C238,4,2)),VALUE(MID(C238,1,2)))+TIME(VALUE(MID(C238,12,2)),VALUE(MID(C238,15,2)),0)</f>
        <v>42933.9819444444</v>
      </c>
      <c r="U238" s="2" t="str">
        <f aca="false">IF(AND(ISNUMBER(VALUE(MID(A238,7,1))),ISNUMBER(SEARCH("km",A238)),ISNUMBER(SEARCH("of",A238))),"Distance-location","Named-region")</f>
        <v>Named-region</v>
      </c>
      <c r="V238" s="2" t="str">
        <f aca="false">LOWER(M238)</f>
        <v>mww</v>
      </c>
      <c r="W238" s="5" t="str">
        <f aca="false">IF(COUNTIFS($A$2:$A$1001,A238,$C$2:$C$1001,C238)&gt;1,"Duplicate","Unique")</f>
        <v>Unique</v>
      </c>
    </row>
    <row r="239" customFormat="false" ht="28.35" hidden="false" customHeight="false" outlineLevel="0" collapsed="false">
      <c r="A239" s="2" t="s">
        <v>695</v>
      </c>
      <c r="B239" s="3" t="n">
        <v>6.6</v>
      </c>
      <c r="C239" s="2" t="s">
        <v>696</v>
      </c>
      <c r="D239" s="2" t="n">
        <v>5</v>
      </c>
      <c r="E239" s="2" t="n">
        <v>4</v>
      </c>
      <c r="F239" s="2" t="s">
        <v>25</v>
      </c>
      <c r="G239" s="2" t="n">
        <v>1</v>
      </c>
      <c r="H239" s="2" t="n">
        <v>704</v>
      </c>
      <c r="I239" s="2" t="s">
        <v>26</v>
      </c>
      <c r="J239" s="2" t="n">
        <v>0</v>
      </c>
      <c r="K239" s="2" t="n">
        <v>3.773</v>
      </c>
      <c r="L239" s="2" t="n">
        <v>37</v>
      </c>
      <c r="M239" s="2" t="s">
        <v>27</v>
      </c>
      <c r="N239" s="3" t="n">
        <v>10</v>
      </c>
      <c r="O239" s="3" t="n">
        <v>-49.4837</v>
      </c>
      <c r="P239" s="3" t="n">
        <v>164.016</v>
      </c>
      <c r="Q239" s="3" t="s">
        <v>697</v>
      </c>
      <c r="R239" s="2"/>
      <c r="S239" s="2"/>
      <c r="T239" s="4" t="n">
        <f aca="false">DATE(VALUE(MID(C239,7,4)),VALUE(MID(C239,4,2)),VALUE(MID(C239,1,2)))+TIME(VALUE(MID(C239,12,2)),VALUE(MID(C239,15,2)),0)</f>
        <v>42927.2916666667</v>
      </c>
      <c r="U239" s="2" t="str">
        <f aca="false">IF(AND(ISNUMBER(VALUE(MID(A239,7,1))),ISNUMBER(SEARCH("km",A239)),ISNUMBER(SEARCH("of",A239))),"Distance-location","Named-region")</f>
        <v>Named-region</v>
      </c>
      <c r="V239" s="2" t="str">
        <f aca="false">LOWER(M239)</f>
        <v>mww</v>
      </c>
      <c r="W239" s="5" t="str">
        <f aca="false">IF(COUNTIFS($A$2:$A$1001,A239,$C$2:$C$1001,C239)&gt;1,"Duplicate","Unique")</f>
        <v>Unique</v>
      </c>
    </row>
    <row r="240" customFormat="false" ht="15" hidden="false" customHeight="false" outlineLevel="0" collapsed="false">
      <c r="A240" s="2" t="s">
        <v>698</v>
      </c>
      <c r="B240" s="3" t="n">
        <v>6.5</v>
      </c>
      <c r="C240" s="2" t="s">
        <v>699</v>
      </c>
      <c r="D240" s="2" t="n">
        <v>9</v>
      </c>
      <c r="E240" s="2" t="n">
        <v>8</v>
      </c>
      <c r="F240" s="2" t="s">
        <v>32</v>
      </c>
      <c r="G240" s="2" t="n">
        <v>1</v>
      </c>
      <c r="H240" s="2" t="n">
        <v>740</v>
      </c>
      <c r="I240" s="2" t="s">
        <v>26</v>
      </c>
      <c r="J240" s="2" t="n">
        <v>0</v>
      </c>
      <c r="K240" s="2" t="n">
        <v>4.139</v>
      </c>
      <c r="L240" s="2" t="n">
        <v>30</v>
      </c>
      <c r="M240" s="2" t="s">
        <v>27</v>
      </c>
      <c r="N240" s="3" t="n">
        <v>9</v>
      </c>
      <c r="O240" s="3" t="n">
        <v>11.1269</v>
      </c>
      <c r="P240" s="3" t="n">
        <v>124.629</v>
      </c>
      <c r="Q240" s="3" t="s">
        <v>700</v>
      </c>
      <c r="R240" s="2"/>
      <c r="S240" s="2" t="s">
        <v>195</v>
      </c>
      <c r="T240" s="4" t="n">
        <f aca="false">DATE(VALUE(MID(C240,7,4)),VALUE(MID(C240,4,2)),VALUE(MID(C240,1,2)))+TIME(VALUE(MID(C240,12,2)),VALUE(MID(C240,15,2)),0)</f>
        <v>42922.3354166667</v>
      </c>
      <c r="U240" s="2" t="str">
        <f aca="false">IF(AND(ISNUMBER(VALUE(MID(A240,7,1))),ISNUMBER(SEARCH("km",A240)),ISNUMBER(SEARCH("of",A240))),"Distance-location","Named-region")</f>
        <v>Named-region</v>
      </c>
      <c r="V240" s="2" t="str">
        <f aca="false">LOWER(M240)</f>
        <v>mww</v>
      </c>
      <c r="W240" s="5" t="str">
        <f aca="false">IF(COUNTIFS($A$2:$A$1001,A240,$C$2:$C$1001,C240)&gt;1,"Duplicate","Unique")</f>
        <v>Unique</v>
      </c>
    </row>
    <row r="241" customFormat="false" ht="15" hidden="false" customHeight="false" outlineLevel="0" collapsed="false">
      <c r="A241" s="2" t="s">
        <v>701</v>
      </c>
      <c r="B241" s="3" t="n">
        <v>6.8</v>
      </c>
      <c r="C241" s="2" t="s">
        <v>702</v>
      </c>
      <c r="D241" s="2" t="n">
        <v>6</v>
      </c>
      <c r="E241" s="2" t="n">
        <v>6</v>
      </c>
      <c r="F241" s="2" t="s">
        <v>32</v>
      </c>
      <c r="G241" s="2" t="n">
        <v>1</v>
      </c>
      <c r="H241" s="2" t="n">
        <v>1034</v>
      </c>
      <c r="I241" s="2" t="s">
        <v>26</v>
      </c>
      <c r="J241" s="2" t="n">
        <v>0</v>
      </c>
      <c r="K241" s="2" t="n">
        <v>1.065</v>
      </c>
      <c r="L241" s="2" t="n">
        <v>38</v>
      </c>
      <c r="M241" s="2" t="s">
        <v>27</v>
      </c>
      <c r="N241" s="3" t="n">
        <v>38.12</v>
      </c>
      <c r="O241" s="3" t="n">
        <v>13.7174</v>
      </c>
      <c r="P241" s="3" t="n">
        <v>-90.9718</v>
      </c>
      <c r="Q241" s="3" t="s">
        <v>703</v>
      </c>
      <c r="R241" s="2"/>
      <c r="S241" s="2"/>
      <c r="T241" s="4" t="n">
        <f aca="false">DATE(VALUE(MID(C241,7,4)),VALUE(MID(C241,4,2)),VALUE(MID(C241,1,2)))+TIME(VALUE(MID(C241,12,2)),VALUE(MID(C241,15,2)),0)</f>
        <v>42908.5215277778</v>
      </c>
      <c r="U241" s="2" t="str">
        <f aca="false">IF(AND(ISNUMBER(VALUE(MID(A241,7,1))),ISNUMBER(SEARCH("km",A241)),ISNUMBER(SEARCH("of",A241))),"Distance-location","Named-region")</f>
        <v>Named-region</v>
      </c>
      <c r="V241" s="2" t="str">
        <f aca="false">LOWER(M241)</f>
        <v>mww</v>
      </c>
      <c r="W241" s="5" t="str">
        <f aca="false">IF(COUNTIFS($A$2:$A$1001,A241,$C$2:$C$1001,C241)&gt;1,"Duplicate","Unique")</f>
        <v>Unique</v>
      </c>
    </row>
    <row r="242" customFormat="false" ht="15" hidden="false" customHeight="false" outlineLevel="0" collapsed="false">
      <c r="A242" s="2" t="s">
        <v>704</v>
      </c>
      <c r="B242" s="3" t="n">
        <v>6.9</v>
      </c>
      <c r="C242" s="2" t="s">
        <v>705</v>
      </c>
      <c r="D242" s="2" t="n">
        <v>8</v>
      </c>
      <c r="E242" s="2" t="n">
        <v>6</v>
      </c>
      <c r="F242" s="2" t="s">
        <v>32</v>
      </c>
      <c r="G242" s="2" t="n">
        <v>1</v>
      </c>
      <c r="H242" s="2" t="n">
        <v>1188</v>
      </c>
      <c r="I242" s="2" t="s">
        <v>26</v>
      </c>
      <c r="J242" s="2" t="n">
        <v>0</v>
      </c>
      <c r="K242" s="2" t="n">
        <v>0.247</v>
      </c>
      <c r="L242" s="2" t="n">
        <v>35</v>
      </c>
      <c r="M242" s="2" t="s">
        <v>27</v>
      </c>
      <c r="N242" s="3" t="n">
        <v>93</v>
      </c>
      <c r="O242" s="3" t="n">
        <v>14.9091</v>
      </c>
      <c r="P242" s="3" t="n">
        <v>-92.0092</v>
      </c>
      <c r="Q242" s="3" t="s">
        <v>706</v>
      </c>
      <c r="R242" s="2"/>
      <c r="S242" s="2" t="s">
        <v>707</v>
      </c>
      <c r="T242" s="4" t="n">
        <f aca="false">DATE(VALUE(MID(C242,7,4)),VALUE(MID(C242,4,2)),VALUE(MID(C242,1,2)))+TIME(VALUE(MID(C242,12,2)),VALUE(MID(C242,15,2)),0)</f>
        <v>42900.3118055556</v>
      </c>
      <c r="U242" s="2" t="str">
        <f aca="false">IF(AND(ISNUMBER(VALUE(MID(A242,7,1))),ISNUMBER(SEARCH("km",A242)),ISNUMBER(SEARCH("of",A242))),"Distance-location","Named-region")</f>
        <v>Named-region</v>
      </c>
      <c r="V242" s="2" t="str">
        <f aca="false">LOWER(M242)</f>
        <v>mww</v>
      </c>
      <c r="W242" s="5" t="str">
        <f aca="false">IF(COUNTIFS($A$2:$A$1001,A242,$C$2:$C$1001,C242)&gt;1,"Duplicate","Unique")</f>
        <v>Unique</v>
      </c>
    </row>
    <row r="243" customFormat="false" ht="15" hidden="false" customHeight="false" outlineLevel="0" collapsed="false">
      <c r="A243" s="2" t="s">
        <v>708</v>
      </c>
      <c r="B243" s="3" t="n">
        <v>6.8</v>
      </c>
      <c r="C243" s="2" t="s">
        <v>709</v>
      </c>
      <c r="D243" s="2" t="n">
        <v>0</v>
      </c>
      <c r="E243" s="2" t="n">
        <v>4</v>
      </c>
      <c r="F243" s="2" t="s">
        <v>25</v>
      </c>
      <c r="G243" s="2" t="n">
        <v>1</v>
      </c>
      <c r="H243" s="2" t="n">
        <v>711</v>
      </c>
      <c r="I243" s="2" t="s">
        <v>26</v>
      </c>
      <c r="J243" s="2" t="n">
        <v>0</v>
      </c>
      <c r="K243" s="2" t="n">
        <v>2.308</v>
      </c>
      <c r="L243" s="2" t="n">
        <v>12</v>
      </c>
      <c r="M243" s="2" t="s">
        <v>27</v>
      </c>
      <c r="N243" s="3" t="n">
        <v>5</v>
      </c>
      <c r="O243" s="3" t="n">
        <v>54.0312</v>
      </c>
      <c r="P243" s="3" t="n">
        <v>170.92</v>
      </c>
      <c r="Q243" s="3" t="s">
        <v>679</v>
      </c>
      <c r="R243" s="2"/>
      <c r="S243" s="2"/>
      <c r="T243" s="4" t="n">
        <f aca="false">DATE(VALUE(MID(C243,7,4)),VALUE(MID(C243,4,2)),VALUE(MID(C243,1,2)))+TIME(VALUE(MID(C243,12,2)),VALUE(MID(C243,15,2)),0)</f>
        <v>42888.9333333333</v>
      </c>
      <c r="U243" s="2" t="str">
        <f aca="false">IF(AND(ISNUMBER(VALUE(MID(A243,7,1))),ISNUMBER(SEARCH("km",A243)),ISNUMBER(SEARCH("of",A243))),"Distance-location","Named-region")</f>
        <v>Named-region</v>
      </c>
      <c r="V243" s="2" t="str">
        <f aca="false">LOWER(M243)</f>
        <v>mww</v>
      </c>
      <c r="W243" s="5" t="str">
        <f aca="false">IF(COUNTIFS($A$2:$A$1001,A243,$C$2:$C$1001,C243)&gt;1,"Duplicate","Unique")</f>
        <v>Unique</v>
      </c>
    </row>
    <row r="244" customFormat="false" ht="15" hidden="false" customHeight="false" outlineLevel="0" collapsed="false">
      <c r="A244" s="2" t="s">
        <v>710</v>
      </c>
      <c r="B244" s="3" t="n">
        <v>6.6</v>
      </c>
      <c r="C244" s="2" t="s">
        <v>711</v>
      </c>
      <c r="D244" s="2" t="n">
        <v>7</v>
      </c>
      <c r="E244" s="2" t="n">
        <v>7</v>
      </c>
      <c r="F244" s="2" t="s">
        <v>25</v>
      </c>
      <c r="G244" s="2" t="n">
        <v>0</v>
      </c>
      <c r="H244" s="2" t="n">
        <v>678</v>
      </c>
      <c r="I244" s="2" t="s">
        <v>26</v>
      </c>
      <c r="J244" s="2" t="n">
        <v>0</v>
      </c>
      <c r="K244" s="2" t="n">
        <v>2.353</v>
      </c>
      <c r="L244" s="2" t="n">
        <v>18</v>
      </c>
      <c r="M244" s="2" t="s">
        <v>27</v>
      </c>
      <c r="N244" s="3" t="n">
        <v>12</v>
      </c>
      <c r="O244" s="3" t="n">
        <v>-1.2923</v>
      </c>
      <c r="P244" s="3" t="n">
        <v>120.431</v>
      </c>
      <c r="Q244" s="3" t="s">
        <v>712</v>
      </c>
      <c r="R244" s="2"/>
      <c r="S244" s="2" t="s">
        <v>72</v>
      </c>
      <c r="T244" s="4" t="n">
        <f aca="false">DATE(VALUE(MID(C244,7,4)),VALUE(MID(C244,4,2)),VALUE(MID(C244,1,2)))+TIME(VALUE(MID(C244,12,2)),VALUE(MID(C244,15,2)),0)</f>
        <v>42884.6076388889</v>
      </c>
      <c r="U244" s="2" t="str">
        <f aca="false">IF(AND(ISNUMBER(VALUE(MID(A244,7,1))),ISNUMBER(SEARCH("km",A244)),ISNUMBER(SEARCH("of",A244))),"Distance-location","Named-region")</f>
        <v>Named-region</v>
      </c>
      <c r="V244" s="2" t="str">
        <f aca="false">LOWER(M244)</f>
        <v>mww</v>
      </c>
      <c r="W244" s="5" t="str">
        <f aca="false">IF(COUNTIFS($A$2:$A$1001,A244,$C$2:$C$1001,C244)&gt;1,"Duplicate","Unique")</f>
        <v>Unique</v>
      </c>
    </row>
    <row r="245" customFormat="false" ht="15" hidden="false" customHeight="false" outlineLevel="0" collapsed="false">
      <c r="A245" s="2" t="s">
        <v>713</v>
      </c>
      <c r="B245" s="3" t="n">
        <v>6.5</v>
      </c>
      <c r="C245" s="2" t="s">
        <v>714</v>
      </c>
      <c r="D245" s="2" t="n">
        <v>0</v>
      </c>
      <c r="E245" s="2" t="n">
        <v>4</v>
      </c>
      <c r="F245" s="2" t="s">
        <v>25</v>
      </c>
      <c r="G245" s="2" t="n">
        <v>1</v>
      </c>
      <c r="H245" s="2" t="n">
        <v>650</v>
      </c>
      <c r="I245" s="2" t="s">
        <v>26</v>
      </c>
      <c r="J245" s="2" t="n">
        <v>0</v>
      </c>
      <c r="K245" s="2" t="n">
        <v>6.489</v>
      </c>
      <c r="L245" s="2" t="n">
        <v>17</v>
      </c>
      <c r="M245" s="2" t="s">
        <v>27</v>
      </c>
      <c r="N245" s="3" t="n">
        <v>15</v>
      </c>
      <c r="O245" s="3" t="n">
        <v>-56.414</v>
      </c>
      <c r="P245" s="3" t="n">
        <v>-25.7432</v>
      </c>
      <c r="Q245" s="3" t="s">
        <v>279</v>
      </c>
      <c r="R245" s="2"/>
      <c r="S245" s="2"/>
      <c r="T245" s="4" t="n">
        <f aca="false">DATE(VALUE(MID(C245,7,4)),VALUE(MID(C245,4,2)),VALUE(MID(C245,1,2)))+TIME(VALUE(MID(C245,12,2)),VALUE(MID(C245,15,2)),0)</f>
        <v>42865.9743055556</v>
      </c>
      <c r="U245" s="2" t="str">
        <f aca="false">IF(AND(ISNUMBER(VALUE(MID(A245,7,1))),ISNUMBER(SEARCH("km",A245)),ISNUMBER(SEARCH("of",A245))),"Distance-location","Named-region")</f>
        <v>Named-region</v>
      </c>
      <c r="V245" s="2" t="str">
        <f aca="false">LOWER(M245)</f>
        <v>mww</v>
      </c>
      <c r="W245" s="5" t="str">
        <f aca="false">IF(COUNTIFS($A$2:$A$1001,A245,$C$2:$C$1001,C245)&gt;1,"Duplicate","Unique")</f>
        <v>Unique</v>
      </c>
    </row>
    <row r="246" customFormat="false" ht="15" hidden="false" customHeight="false" outlineLevel="0" collapsed="false">
      <c r="A246" s="2" t="s">
        <v>715</v>
      </c>
      <c r="B246" s="3" t="n">
        <v>6.8</v>
      </c>
      <c r="C246" s="2" t="s">
        <v>716</v>
      </c>
      <c r="D246" s="2" t="n">
        <v>6</v>
      </c>
      <c r="E246" s="2" t="n">
        <v>5</v>
      </c>
      <c r="F246" s="2" t="s">
        <v>25</v>
      </c>
      <c r="G246" s="2" t="n">
        <v>1</v>
      </c>
      <c r="H246" s="2" t="n">
        <v>713</v>
      </c>
      <c r="I246" s="2" t="s">
        <v>26</v>
      </c>
      <c r="J246" s="2" t="n">
        <v>0</v>
      </c>
      <c r="K246" s="2" t="n">
        <v>7.495</v>
      </c>
      <c r="L246" s="2" t="n">
        <v>19</v>
      </c>
      <c r="M246" s="2" t="s">
        <v>27</v>
      </c>
      <c r="N246" s="3" t="n">
        <v>169</v>
      </c>
      <c r="O246" s="3" t="n">
        <v>-14.5884</v>
      </c>
      <c r="P246" s="3" t="n">
        <v>167.377</v>
      </c>
      <c r="Q246" s="3" t="s">
        <v>108</v>
      </c>
      <c r="R246" s="2"/>
      <c r="S246" s="2" t="s">
        <v>29</v>
      </c>
      <c r="T246" s="4" t="n">
        <f aca="false">DATE(VALUE(MID(C246,7,4)),VALUE(MID(C246,4,2)),VALUE(MID(C246,1,2)))+TIME(VALUE(MID(C246,12,2)),VALUE(MID(C246,15,2)),0)</f>
        <v>42864.5777777778</v>
      </c>
      <c r="U246" s="2" t="str">
        <f aca="false">IF(AND(ISNUMBER(VALUE(MID(A246,7,1))),ISNUMBER(SEARCH("km",A246)),ISNUMBER(SEARCH("of",A246))),"Distance-location","Named-region")</f>
        <v>Named-region</v>
      </c>
      <c r="V246" s="2" t="str">
        <f aca="false">LOWER(M246)</f>
        <v>mww</v>
      </c>
      <c r="W246" s="5" t="str">
        <f aca="false">IF(COUNTIFS($A$2:$A$1001,A246,$C$2:$C$1001,C246)&gt;1,"Duplicate","Unique")</f>
        <v>Unique</v>
      </c>
    </row>
    <row r="247" customFormat="false" ht="15" hidden="false" customHeight="false" outlineLevel="0" collapsed="false">
      <c r="A247" s="2" t="s">
        <v>717</v>
      </c>
      <c r="B247" s="3" t="n">
        <v>6.9</v>
      </c>
      <c r="C247" s="2" t="s">
        <v>718</v>
      </c>
      <c r="D247" s="2" t="n">
        <v>9</v>
      </c>
      <c r="E247" s="2" t="n">
        <v>6</v>
      </c>
      <c r="F247" s="2" t="s">
        <v>25</v>
      </c>
      <c r="G247" s="2" t="n">
        <v>1</v>
      </c>
      <c r="H247" s="2" t="n">
        <v>814</v>
      </c>
      <c r="I247" s="2" t="s">
        <v>26</v>
      </c>
      <c r="J247" s="2" t="n">
        <v>0</v>
      </c>
      <c r="K247" s="2" t="n">
        <v>1.636</v>
      </c>
      <c r="L247" s="2" t="n">
        <v>14</v>
      </c>
      <c r="M247" s="2" t="s">
        <v>27</v>
      </c>
      <c r="N247" s="3" t="n">
        <v>26</v>
      </c>
      <c r="O247" s="3" t="n">
        <v>5.5043</v>
      </c>
      <c r="P247" s="3" t="n">
        <v>125.066</v>
      </c>
      <c r="Q247" s="3" t="s">
        <v>719</v>
      </c>
      <c r="R247" s="2"/>
      <c r="S247" s="2" t="s">
        <v>195</v>
      </c>
      <c r="T247" s="4" t="n">
        <f aca="false">DATE(VALUE(MID(C247,7,4)),VALUE(MID(C247,4,2)),VALUE(MID(C247,1,2)))+TIME(VALUE(MID(C247,12,2)),VALUE(MID(C247,15,2)),0)</f>
        <v>42853.8493055556</v>
      </c>
      <c r="U247" s="2" t="str">
        <f aca="false">IF(AND(ISNUMBER(VALUE(MID(A247,7,1))),ISNUMBER(SEARCH("km",A247)),ISNUMBER(SEARCH("of",A247))),"Distance-location","Named-region")</f>
        <v>Named-region</v>
      </c>
      <c r="V247" s="2" t="str">
        <f aca="false">LOWER(M247)</f>
        <v>mww</v>
      </c>
      <c r="W247" s="5" t="str">
        <f aca="false">IF(COUNTIFS($A$2:$A$1001,A247,$C$2:$C$1001,C247)&gt;1,"Duplicate","Unique")</f>
        <v>Unique</v>
      </c>
    </row>
    <row r="248" customFormat="false" ht="15" hidden="false" customHeight="false" outlineLevel="0" collapsed="false">
      <c r="A248" s="2" t="s">
        <v>720</v>
      </c>
      <c r="B248" s="3" t="n">
        <v>6.9</v>
      </c>
      <c r="C248" s="2" t="s">
        <v>721</v>
      </c>
      <c r="D248" s="2" t="n">
        <v>9</v>
      </c>
      <c r="E248" s="2" t="n">
        <v>7</v>
      </c>
      <c r="F248" s="2" t="s">
        <v>32</v>
      </c>
      <c r="G248" s="2" t="n">
        <v>1</v>
      </c>
      <c r="H248" s="2" t="n">
        <v>1642</v>
      </c>
      <c r="I248" s="2" t="s">
        <v>26</v>
      </c>
      <c r="J248" s="2" t="n">
        <v>0</v>
      </c>
      <c r="K248" s="2" t="n">
        <v>0.356</v>
      </c>
      <c r="L248" s="2" t="n">
        <v>39</v>
      </c>
      <c r="M248" s="2" t="s">
        <v>27</v>
      </c>
      <c r="N248" s="3" t="n">
        <v>28</v>
      </c>
      <c r="O248" s="3" t="n">
        <v>-33.0375</v>
      </c>
      <c r="P248" s="3" t="n">
        <v>-72.0617</v>
      </c>
      <c r="Q248" s="3" t="s">
        <v>722</v>
      </c>
      <c r="R248" s="2"/>
      <c r="S248" s="2"/>
      <c r="T248" s="4" t="n">
        <f aca="false">DATE(VALUE(MID(C248,7,4)),VALUE(MID(C248,4,2)),VALUE(MID(C248,1,2)))+TIME(VALUE(MID(C248,12,2)),VALUE(MID(C248,15,2)),0)</f>
        <v>42849.9013888889</v>
      </c>
      <c r="U248" s="2" t="str">
        <f aca="false">IF(AND(ISNUMBER(VALUE(MID(A248,7,1))),ISNUMBER(SEARCH("km",A248)),ISNUMBER(SEARCH("of",A248))),"Distance-location","Named-region")</f>
        <v>Named-region</v>
      </c>
      <c r="V248" s="2" t="str">
        <f aca="false">LOWER(M248)</f>
        <v>mww</v>
      </c>
      <c r="W248" s="5" t="str">
        <f aca="false">IF(COUNTIFS($A$2:$A$1001,A248,$C$2:$C$1001,C248)&gt;1,"Duplicate","Unique")</f>
        <v>Unique</v>
      </c>
    </row>
    <row r="249" customFormat="false" ht="15" hidden="false" customHeight="false" outlineLevel="0" collapsed="false">
      <c r="A249" s="2" t="s">
        <v>723</v>
      </c>
      <c r="B249" s="3" t="n">
        <v>6.5</v>
      </c>
      <c r="C249" s="2" t="s">
        <v>724</v>
      </c>
      <c r="D249" s="2" t="n">
        <v>7</v>
      </c>
      <c r="E249" s="2" t="n">
        <v>8</v>
      </c>
      <c r="F249" s="2" t="s">
        <v>25</v>
      </c>
      <c r="G249" s="2" t="n">
        <v>0</v>
      </c>
      <c r="H249" s="2" t="n">
        <v>1297</v>
      </c>
      <c r="I249" s="2" t="s">
        <v>26</v>
      </c>
      <c r="J249" s="2" t="n">
        <v>0</v>
      </c>
      <c r="K249" s="2" t="n">
        <v>2.36</v>
      </c>
      <c r="L249" s="2" t="n">
        <v>15</v>
      </c>
      <c r="M249" s="2" t="s">
        <v>27</v>
      </c>
      <c r="N249" s="3" t="n">
        <v>29</v>
      </c>
      <c r="O249" s="3" t="n">
        <v>-22.6784</v>
      </c>
      <c r="P249" s="3" t="n">
        <v>25.1558</v>
      </c>
      <c r="Q249" s="3" t="s">
        <v>725</v>
      </c>
      <c r="R249" s="2" t="s">
        <v>726</v>
      </c>
      <c r="S249" s="2" t="s">
        <v>727</v>
      </c>
      <c r="T249" s="4" t="n">
        <f aca="false">DATE(VALUE(MID(C249,7,4)),VALUE(MID(C249,4,2)),VALUE(MID(C249,1,2)))+TIME(VALUE(MID(C249,12,2)),VALUE(MID(C249,15,2)),0)</f>
        <v>42828.7361111111</v>
      </c>
      <c r="U249" s="2" t="str">
        <f aca="false">IF(AND(ISNUMBER(VALUE(MID(A249,7,1))),ISNUMBER(SEARCH("km",A249)),ISNUMBER(SEARCH("of",A249))),"Distance-location","Named-region")</f>
        <v>Named-region</v>
      </c>
      <c r="V249" s="2" t="str">
        <f aca="false">LOWER(M249)</f>
        <v>mww</v>
      </c>
      <c r="W249" s="5" t="str">
        <f aca="false">IF(COUNTIFS($A$2:$A$1001,A249,$C$2:$C$1001,C249)&gt;1,"Duplicate","Unique")</f>
        <v>Unique</v>
      </c>
    </row>
    <row r="250" customFormat="false" ht="15" hidden="false" customHeight="false" outlineLevel="0" collapsed="false">
      <c r="A250" s="2" t="s">
        <v>728</v>
      </c>
      <c r="B250" s="3" t="n">
        <v>6.6</v>
      </c>
      <c r="C250" s="2" t="s">
        <v>729</v>
      </c>
      <c r="D250" s="2" t="n">
        <v>6</v>
      </c>
      <c r="E250" s="2" t="n">
        <v>7</v>
      </c>
      <c r="F250" s="2" t="s">
        <v>32</v>
      </c>
      <c r="G250" s="2" t="n">
        <v>1</v>
      </c>
      <c r="H250" s="2" t="n">
        <v>671</v>
      </c>
      <c r="I250" s="2" t="s">
        <v>26</v>
      </c>
      <c r="J250" s="2" t="n">
        <v>0</v>
      </c>
      <c r="K250" s="2" t="n">
        <v>4.591</v>
      </c>
      <c r="L250" s="2" t="n">
        <v>14</v>
      </c>
      <c r="M250" s="2" t="s">
        <v>27</v>
      </c>
      <c r="N250" s="3" t="n">
        <v>17</v>
      </c>
      <c r="O250" s="3" t="n">
        <v>56.9401</v>
      </c>
      <c r="P250" s="3" t="n">
        <v>162.786</v>
      </c>
      <c r="Q250" s="3" t="s">
        <v>338</v>
      </c>
      <c r="R250" s="2" t="s">
        <v>84</v>
      </c>
      <c r="S250" s="2" t="s">
        <v>432</v>
      </c>
      <c r="T250" s="4" t="n">
        <f aca="false">DATE(VALUE(MID(C250,7,4)),VALUE(MID(C250,4,2)),VALUE(MID(C250,1,2)))+TIME(VALUE(MID(C250,12,2)),VALUE(MID(C250,15,2)),0)</f>
        <v>42823.1729166667</v>
      </c>
      <c r="U250" s="2" t="str">
        <f aca="false">IF(AND(ISNUMBER(VALUE(MID(A250,7,1))),ISNUMBER(SEARCH("km",A250)),ISNUMBER(SEARCH("of",A250))),"Distance-location","Named-region")</f>
        <v>Named-region</v>
      </c>
      <c r="V250" s="2" t="str">
        <f aca="false">LOWER(M250)</f>
        <v>mww</v>
      </c>
      <c r="W250" s="5" t="str">
        <f aca="false">IF(COUNTIFS($A$2:$A$1001,A250,$C$2:$C$1001,C250)&gt;1,"Duplicate","Unique")</f>
        <v>Unique</v>
      </c>
    </row>
    <row r="251" customFormat="false" ht="15" hidden="false" customHeight="false" outlineLevel="0" collapsed="false">
      <c r="A251" s="2" t="s">
        <v>730</v>
      </c>
      <c r="B251" s="3" t="n">
        <v>6.9</v>
      </c>
      <c r="C251" s="2" t="s">
        <v>731</v>
      </c>
      <c r="D251" s="2" t="n">
        <v>2</v>
      </c>
      <c r="E251" s="2" t="n">
        <v>3</v>
      </c>
      <c r="F251" s="2" t="s">
        <v>25</v>
      </c>
      <c r="G251" s="2" t="n">
        <v>1</v>
      </c>
      <c r="H251" s="2" t="n">
        <v>733</v>
      </c>
      <c r="I251" s="2" t="s">
        <v>26</v>
      </c>
      <c r="J251" s="2" t="n">
        <v>0</v>
      </c>
      <c r="K251" s="2" t="n">
        <v>6.012</v>
      </c>
      <c r="L251" s="2" t="n">
        <v>19</v>
      </c>
      <c r="M251" s="2" t="s">
        <v>27</v>
      </c>
      <c r="N251" s="3" t="n">
        <v>414.5</v>
      </c>
      <c r="O251" s="3" t="n">
        <v>-23.2593</v>
      </c>
      <c r="P251" s="3" t="n">
        <v>-178.804</v>
      </c>
      <c r="Q251" s="3" t="s">
        <v>54</v>
      </c>
      <c r="R251" s="2"/>
      <c r="S251" s="2"/>
      <c r="T251" s="4" t="n">
        <f aca="false">DATE(VALUE(MID(C251,7,4)),VALUE(MID(C251,4,2)),VALUE(MID(C251,1,2)))+TIME(VALUE(MID(C251,12,2)),VALUE(MID(C251,15,2)),0)</f>
        <v>42790.7277777778</v>
      </c>
      <c r="U251" s="2" t="str">
        <f aca="false">IF(AND(ISNUMBER(VALUE(MID(A251,7,1))),ISNUMBER(SEARCH("km",A251)),ISNUMBER(SEARCH("of",A251))),"Distance-location","Named-region")</f>
        <v>Named-region</v>
      </c>
      <c r="V251" s="2" t="str">
        <f aca="false">LOWER(M251)</f>
        <v>mww</v>
      </c>
      <c r="W251" s="5" t="str">
        <f aca="false">IF(COUNTIFS($A$2:$A$1001,A251,$C$2:$C$1001,C251)&gt;1,"Duplicate","Unique")</f>
        <v>Unique</v>
      </c>
    </row>
    <row r="252" customFormat="false" ht="15" hidden="false" customHeight="false" outlineLevel="0" collapsed="false">
      <c r="A252" s="2" t="s">
        <v>732</v>
      </c>
      <c r="B252" s="3" t="n">
        <v>6.5</v>
      </c>
      <c r="C252" s="2" t="s">
        <v>733</v>
      </c>
      <c r="D252" s="2" t="n">
        <v>3</v>
      </c>
      <c r="E252" s="2" t="n">
        <v>3</v>
      </c>
      <c r="F252" s="2" t="s">
        <v>25</v>
      </c>
      <c r="G252" s="2" t="n">
        <v>0</v>
      </c>
      <c r="H252" s="2" t="n">
        <v>653</v>
      </c>
      <c r="I252" s="2" t="s">
        <v>26</v>
      </c>
      <c r="J252" s="2" t="n">
        <v>0</v>
      </c>
      <c r="K252" s="2" t="n">
        <v>4.242</v>
      </c>
      <c r="L252" s="2" t="n">
        <v>14</v>
      </c>
      <c r="M252" s="2" t="s">
        <v>27</v>
      </c>
      <c r="N252" s="3" t="n">
        <v>595.98</v>
      </c>
      <c r="O252" s="3" t="n">
        <v>-19.2814</v>
      </c>
      <c r="P252" s="3" t="n">
        <v>-63.9047</v>
      </c>
      <c r="Q252" s="3" t="s">
        <v>734</v>
      </c>
      <c r="R252" s="2" t="s">
        <v>37</v>
      </c>
      <c r="S252" s="2" t="s">
        <v>622</v>
      </c>
      <c r="T252" s="4" t="n">
        <f aca="false">DATE(VALUE(MID(C252,7,4)),VALUE(MID(C252,4,2)),VALUE(MID(C252,1,2)))+TIME(VALUE(MID(C252,12,2)),VALUE(MID(C252,15,2)),0)</f>
        <v>42787.5895833333</v>
      </c>
      <c r="U252" s="2" t="str">
        <f aca="false">IF(AND(ISNUMBER(VALUE(MID(A252,7,1))),ISNUMBER(SEARCH("km",A252)),ISNUMBER(SEARCH("of",A252))),"Distance-location","Named-region")</f>
        <v>Named-region</v>
      </c>
      <c r="V252" s="2" t="str">
        <f aca="false">LOWER(M252)</f>
        <v>mww</v>
      </c>
      <c r="W252" s="5" t="str">
        <f aca="false">IF(COUNTIFS($A$2:$A$1001,A252,$C$2:$C$1001,C252)&gt;1,"Duplicate","Unique")</f>
        <v>Unique</v>
      </c>
    </row>
    <row r="253" customFormat="false" ht="15" hidden="false" customHeight="false" outlineLevel="0" collapsed="false">
      <c r="A253" s="2" t="s">
        <v>735</v>
      </c>
      <c r="B253" s="3" t="n">
        <v>6.5</v>
      </c>
      <c r="C253" s="2" t="s">
        <v>736</v>
      </c>
      <c r="D253" s="2" t="n">
        <v>8</v>
      </c>
      <c r="E253" s="2" t="n">
        <v>7</v>
      </c>
      <c r="F253" s="2" t="s">
        <v>32</v>
      </c>
      <c r="G253" s="2" t="n">
        <v>1</v>
      </c>
      <c r="H253" s="2" t="n">
        <v>718</v>
      </c>
      <c r="I253" s="2" t="s">
        <v>26</v>
      </c>
      <c r="J253" s="2" t="n">
        <v>0</v>
      </c>
      <c r="K253" s="2" t="n">
        <v>2.822</v>
      </c>
      <c r="L253" s="2" t="n">
        <v>36</v>
      </c>
      <c r="M253" s="2" t="s">
        <v>27</v>
      </c>
      <c r="N253" s="3" t="n">
        <v>15</v>
      </c>
      <c r="O253" s="3" t="n">
        <v>9.9071</v>
      </c>
      <c r="P253" s="3" t="n">
        <v>125.452</v>
      </c>
      <c r="Q253" s="3" t="s">
        <v>737</v>
      </c>
      <c r="R253" s="2"/>
      <c r="S253" s="2" t="s">
        <v>195</v>
      </c>
      <c r="T253" s="4" t="n">
        <f aca="false">DATE(VALUE(MID(C253,7,4)),VALUE(MID(C253,4,2)),VALUE(MID(C253,1,2)))+TIME(VALUE(MID(C253,12,2)),VALUE(MID(C253,15,2)),0)</f>
        <v>42776.5854166667</v>
      </c>
      <c r="U253" s="2" t="str">
        <f aca="false">IF(AND(ISNUMBER(VALUE(MID(A253,7,1))),ISNUMBER(SEARCH("km",A253)),ISNUMBER(SEARCH("of",A253))),"Distance-location","Named-region")</f>
        <v>Named-region</v>
      </c>
      <c r="V253" s="2" t="str">
        <f aca="false">LOWER(M253)</f>
        <v>mww</v>
      </c>
      <c r="W253" s="5" t="str">
        <f aca="false">IF(COUNTIFS($A$2:$A$1001,A253,$C$2:$C$1001,C253)&gt;1,"Duplicate","Unique")</f>
        <v>Unique</v>
      </c>
    </row>
    <row r="254" customFormat="false" ht="15" hidden="false" customHeight="false" outlineLevel="0" collapsed="false">
      <c r="A254" s="2" t="s">
        <v>738</v>
      </c>
      <c r="B254" s="3" t="n">
        <v>7.9</v>
      </c>
      <c r="C254" s="2" t="s">
        <v>739</v>
      </c>
      <c r="D254" s="2" t="n">
        <v>9</v>
      </c>
      <c r="E254" s="2" t="n">
        <v>7</v>
      </c>
      <c r="F254" s="2" t="s">
        <v>32</v>
      </c>
      <c r="G254" s="2" t="n">
        <v>1</v>
      </c>
      <c r="H254" s="2" t="n">
        <v>987</v>
      </c>
      <c r="I254" s="2" t="s">
        <v>26</v>
      </c>
      <c r="J254" s="2" t="n">
        <v>0</v>
      </c>
      <c r="K254" s="2" t="n">
        <v>3.625</v>
      </c>
      <c r="L254" s="2" t="n">
        <v>9</v>
      </c>
      <c r="M254" s="2" t="s">
        <v>27</v>
      </c>
      <c r="N254" s="3" t="n">
        <v>135</v>
      </c>
      <c r="O254" s="3" t="n">
        <v>-6.2464</v>
      </c>
      <c r="P254" s="3" t="n">
        <v>155.172</v>
      </c>
      <c r="Q254" s="3" t="s">
        <v>740</v>
      </c>
      <c r="R254" s="2"/>
      <c r="S254" s="2" t="s">
        <v>89</v>
      </c>
      <c r="T254" s="4" t="n">
        <f aca="false">DATE(VALUE(MID(C254,7,4)),VALUE(MID(C254,4,2)),VALUE(MID(C254,1,2)))+TIME(VALUE(MID(C254,12,2)),VALUE(MID(C254,15,2)),0)</f>
        <v>42757.1875</v>
      </c>
      <c r="U254" s="2" t="str">
        <f aca="false">IF(AND(ISNUMBER(VALUE(MID(A254,7,1))),ISNUMBER(SEARCH("km",A254)),ISNUMBER(SEARCH("of",A254))),"Distance-location","Named-region")</f>
        <v>Named-region</v>
      </c>
      <c r="V254" s="2" t="str">
        <f aca="false">LOWER(M254)</f>
        <v>mww</v>
      </c>
      <c r="W254" s="5" t="str">
        <f aca="false">IF(COUNTIFS($A$2:$A$1001,A254,$C$2:$C$1001,C254)&gt;1,"Duplicate","Unique")</f>
        <v>Unique</v>
      </c>
    </row>
    <row r="255" customFormat="false" ht="15" hidden="false" customHeight="false" outlineLevel="0" collapsed="false">
      <c r="A255" s="2" t="s">
        <v>741</v>
      </c>
      <c r="B255" s="3" t="n">
        <v>6.5</v>
      </c>
      <c r="C255" s="2" t="s">
        <v>742</v>
      </c>
      <c r="D255" s="2" t="n">
        <v>6</v>
      </c>
      <c r="E255" s="2" t="n">
        <v>6</v>
      </c>
      <c r="F255" s="2" t="s">
        <v>25</v>
      </c>
      <c r="G255" s="2" t="n">
        <v>1</v>
      </c>
      <c r="H255" s="2" t="n">
        <v>654</v>
      </c>
      <c r="I255" s="2" t="s">
        <v>26</v>
      </c>
      <c r="J255" s="2" t="n">
        <v>0</v>
      </c>
      <c r="K255" s="2" t="n">
        <v>1.64</v>
      </c>
      <c r="L255" s="2" t="n">
        <v>21</v>
      </c>
      <c r="M255" s="2" t="s">
        <v>27</v>
      </c>
      <c r="N255" s="3" t="n">
        <v>36</v>
      </c>
      <c r="O255" s="3" t="n">
        <v>-10.3506</v>
      </c>
      <c r="P255" s="3" t="n">
        <v>161.335</v>
      </c>
      <c r="Q255" s="3" t="s">
        <v>585</v>
      </c>
      <c r="R255" s="2"/>
      <c r="S255" s="2" t="s">
        <v>144</v>
      </c>
      <c r="T255" s="4" t="n">
        <f aca="false">DATE(VALUE(MID(C255,7,4)),VALUE(MID(C255,4,2)),VALUE(MID(C255,1,2)))+TIME(VALUE(MID(C255,12,2)),VALUE(MID(C255,15,2)),0)</f>
        <v>42754.9611111111</v>
      </c>
      <c r="U255" s="2" t="str">
        <f aca="false">IF(AND(ISNUMBER(VALUE(MID(A255,7,1))),ISNUMBER(SEARCH("km",A255)),ISNUMBER(SEARCH("of",A255))),"Distance-location","Named-region")</f>
        <v>Named-region</v>
      </c>
      <c r="V255" s="2" t="str">
        <f aca="false">LOWER(M255)</f>
        <v>mww</v>
      </c>
      <c r="W255" s="5" t="str">
        <f aca="false">IF(COUNTIFS($A$2:$A$1001,A255,$C$2:$C$1001,C255)&gt;1,"Duplicate","Unique")</f>
        <v>Unique</v>
      </c>
    </row>
    <row r="256" customFormat="false" ht="15" hidden="false" customHeight="false" outlineLevel="0" collapsed="false">
      <c r="A256" s="2" t="s">
        <v>743</v>
      </c>
      <c r="B256" s="3" t="n">
        <v>7.3</v>
      </c>
      <c r="C256" s="2" t="s">
        <v>744</v>
      </c>
      <c r="D256" s="2" t="n">
        <v>6</v>
      </c>
      <c r="E256" s="2" t="n">
        <v>3</v>
      </c>
      <c r="F256" s="2" t="s">
        <v>25</v>
      </c>
      <c r="G256" s="2" t="n">
        <v>1</v>
      </c>
      <c r="H256" s="2" t="n">
        <v>849</v>
      </c>
      <c r="I256" s="2" t="s">
        <v>26</v>
      </c>
      <c r="J256" s="2" t="n">
        <v>0</v>
      </c>
      <c r="K256" s="2" t="n">
        <v>3.813</v>
      </c>
      <c r="L256" s="2" t="n">
        <v>18</v>
      </c>
      <c r="M256" s="2" t="s">
        <v>27</v>
      </c>
      <c r="N256" s="3" t="n">
        <v>627.17</v>
      </c>
      <c r="O256" s="3" t="n">
        <v>4.4782</v>
      </c>
      <c r="P256" s="3" t="n">
        <v>122.617</v>
      </c>
      <c r="Q256" s="3" t="s">
        <v>745</v>
      </c>
      <c r="R256" s="2"/>
      <c r="S256" s="2"/>
      <c r="T256" s="4" t="n">
        <f aca="false">DATE(VALUE(MID(C256,7,4)),VALUE(MID(C256,4,2)),VALUE(MID(C256,1,2)))+TIME(VALUE(MID(C256,12,2)),VALUE(MID(C256,15,2)),0)</f>
        <v>42745.2590277778</v>
      </c>
      <c r="U256" s="2" t="str">
        <f aca="false">IF(AND(ISNUMBER(VALUE(MID(A256,7,1))),ISNUMBER(SEARCH("km",A256)),ISNUMBER(SEARCH("of",A256))),"Distance-location","Named-region")</f>
        <v>Named-region</v>
      </c>
      <c r="V256" s="2" t="str">
        <f aca="false">LOWER(M256)</f>
        <v>mww</v>
      </c>
      <c r="W256" s="5" t="str">
        <f aca="false">IF(COUNTIFS($A$2:$A$1001,A256,$C$2:$C$1001,C256)&gt;1,"Duplicate","Unique")</f>
        <v>Unique</v>
      </c>
    </row>
    <row r="257" customFormat="false" ht="15" hidden="false" customHeight="false" outlineLevel="0" collapsed="false">
      <c r="A257" s="2" t="s">
        <v>746</v>
      </c>
      <c r="B257" s="3" t="n">
        <v>6.9</v>
      </c>
      <c r="C257" s="2" t="s">
        <v>747</v>
      </c>
      <c r="D257" s="2" t="n">
        <v>6</v>
      </c>
      <c r="E257" s="2" t="n">
        <v>4</v>
      </c>
      <c r="F257" s="2" t="s">
        <v>25</v>
      </c>
      <c r="G257" s="2" t="n">
        <v>1</v>
      </c>
      <c r="H257" s="2" t="n">
        <v>742</v>
      </c>
      <c r="I257" s="2" t="s">
        <v>26</v>
      </c>
      <c r="J257" s="2" t="n">
        <v>0</v>
      </c>
      <c r="K257" s="2" t="n">
        <v>2.495</v>
      </c>
      <c r="L257" s="2" t="n">
        <v>13</v>
      </c>
      <c r="M257" s="2" t="s">
        <v>27</v>
      </c>
      <c r="N257" s="3" t="n">
        <v>12</v>
      </c>
      <c r="O257" s="3" t="n">
        <v>-19.3733</v>
      </c>
      <c r="P257" s="3" t="n">
        <v>176.052</v>
      </c>
      <c r="Q257" s="3" t="s">
        <v>748</v>
      </c>
      <c r="R257" s="2"/>
      <c r="S257" s="2"/>
      <c r="T257" s="4" t="n">
        <f aca="false">DATE(VALUE(MID(C257,7,4)),VALUE(MID(C257,4,2)),VALUE(MID(C257,1,2)))+TIME(VALUE(MID(C257,12,2)),VALUE(MID(C257,15,2)),0)</f>
        <v>42738.9111111111</v>
      </c>
      <c r="U257" s="2" t="str">
        <f aca="false">IF(AND(ISNUMBER(VALUE(MID(A257,7,1))),ISNUMBER(SEARCH("km",A257)),ISNUMBER(SEARCH("of",A257))),"Distance-location","Named-region")</f>
        <v>Named-region</v>
      </c>
      <c r="V257" s="2" t="str">
        <f aca="false">LOWER(M257)</f>
        <v>mww</v>
      </c>
      <c r="W257" s="5" t="str">
        <f aca="false">IF(COUNTIFS($A$2:$A$1001,A257,$C$2:$C$1001,C257)&gt;1,"Duplicate","Unique")</f>
        <v>Unique</v>
      </c>
    </row>
    <row r="258" customFormat="false" ht="15" hidden="false" customHeight="false" outlineLevel="0" collapsed="false">
      <c r="A258" s="2" t="s">
        <v>749</v>
      </c>
      <c r="B258" s="3" t="n">
        <v>7.6</v>
      </c>
      <c r="C258" s="2" t="s">
        <v>750</v>
      </c>
      <c r="D258" s="2" t="n">
        <v>9</v>
      </c>
      <c r="E258" s="2" t="n">
        <v>8</v>
      </c>
      <c r="F258" s="2" t="s">
        <v>32</v>
      </c>
      <c r="G258" s="2" t="n">
        <v>1</v>
      </c>
      <c r="H258" s="2" t="n">
        <v>1152</v>
      </c>
      <c r="I258" s="2" t="s">
        <v>26</v>
      </c>
      <c r="J258" s="2" t="n">
        <v>0</v>
      </c>
      <c r="K258" s="2" t="n">
        <v>0.355</v>
      </c>
      <c r="L258" s="2" t="n">
        <v>29</v>
      </c>
      <c r="M258" s="2" t="s">
        <v>27</v>
      </c>
      <c r="N258" s="3" t="n">
        <v>38</v>
      </c>
      <c r="O258" s="3" t="n">
        <v>-43.4064</v>
      </c>
      <c r="P258" s="3" t="n">
        <v>-73.9413</v>
      </c>
      <c r="Q258" s="3" t="s">
        <v>751</v>
      </c>
      <c r="R258" s="2" t="s">
        <v>37</v>
      </c>
      <c r="S258" s="2" t="s">
        <v>377</v>
      </c>
      <c r="T258" s="4" t="n">
        <f aca="false">DATE(VALUE(MID(C258,7,4)),VALUE(MID(C258,4,2)),VALUE(MID(C258,1,2)))+TIME(VALUE(MID(C258,12,2)),VALUE(MID(C258,15,2)),0)</f>
        <v>42729.5986111111</v>
      </c>
      <c r="U258" s="2" t="str">
        <f aca="false">IF(AND(ISNUMBER(VALUE(MID(A258,7,1))),ISNUMBER(SEARCH("km",A258)),ISNUMBER(SEARCH("of",A258))),"Distance-location","Named-region")</f>
        <v>Named-region</v>
      </c>
      <c r="V258" s="2" t="str">
        <f aca="false">LOWER(M258)</f>
        <v>mww</v>
      </c>
      <c r="W258" s="5" t="str">
        <f aca="false">IF(COUNTIFS($A$2:$A$1001,A258,$C$2:$C$1001,C258)&gt;1,"Duplicate","Unique")</f>
        <v>Unique</v>
      </c>
    </row>
    <row r="259" customFormat="false" ht="15" hidden="false" customHeight="false" outlineLevel="0" collapsed="false">
      <c r="A259" s="2" t="s">
        <v>752</v>
      </c>
      <c r="B259" s="3" t="n">
        <v>6.7</v>
      </c>
      <c r="C259" s="2" t="s">
        <v>753</v>
      </c>
      <c r="D259" s="2" t="n">
        <v>5</v>
      </c>
      <c r="E259" s="2" t="n">
        <v>5</v>
      </c>
      <c r="F259" s="2" t="s">
        <v>25</v>
      </c>
      <c r="G259" s="2" t="n">
        <v>0</v>
      </c>
      <c r="H259" s="2" t="n">
        <v>726</v>
      </c>
      <c r="I259" s="2" t="s">
        <v>26</v>
      </c>
      <c r="J259" s="2" t="n">
        <v>0</v>
      </c>
      <c r="K259" s="2" t="n">
        <v>3.38</v>
      </c>
      <c r="L259" s="2" t="n">
        <v>17</v>
      </c>
      <c r="M259" s="2" t="s">
        <v>27</v>
      </c>
      <c r="N259" s="3" t="n">
        <v>152</v>
      </c>
      <c r="O259" s="3" t="n">
        <v>-7.5082</v>
      </c>
      <c r="P259" s="3" t="n">
        <v>127.921</v>
      </c>
      <c r="Q259" s="3" t="s">
        <v>252</v>
      </c>
      <c r="R259" s="2"/>
      <c r="S259" s="2" t="s">
        <v>72</v>
      </c>
      <c r="T259" s="4" t="n">
        <f aca="false">DATE(VALUE(MID(C259,7,4)),VALUE(MID(C259,4,2)),VALUE(MID(C259,1,2)))+TIME(VALUE(MID(C259,12,2)),VALUE(MID(C259,15,2)),0)</f>
        <v>42725.0118055556</v>
      </c>
      <c r="U259" s="2" t="str">
        <f aca="false">IF(AND(ISNUMBER(VALUE(MID(A259,7,1))),ISNUMBER(SEARCH("km",A259)),ISNUMBER(SEARCH("of",A259))),"Distance-location","Named-region")</f>
        <v>Named-region</v>
      </c>
      <c r="V259" s="2" t="str">
        <f aca="false">LOWER(M259)</f>
        <v>mww</v>
      </c>
      <c r="W259" s="5" t="str">
        <f aca="false">IF(COUNTIFS($A$2:$A$1001,A259,$C$2:$C$1001,C259)&gt;1,"Duplicate","Unique")</f>
        <v>Unique</v>
      </c>
    </row>
    <row r="260" customFormat="false" ht="15" hidden="false" customHeight="false" outlineLevel="0" collapsed="false">
      <c r="A260" s="2" t="s">
        <v>754</v>
      </c>
      <c r="B260" s="3" t="n">
        <v>7.9</v>
      </c>
      <c r="C260" s="2" t="s">
        <v>755</v>
      </c>
      <c r="D260" s="2" t="n">
        <v>9</v>
      </c>
      <c r="E260" s="2" t="n">
        <v>7</v>
      </c>
      <c r="F260" s="2" t="s">
        <v>32</v>
      </c>
      <c r="G260" s="2" t="n">
        <v>1</v>
      </c>
      <c r="H260" s="2" t="n">
        <v>972</v>
      </c>
      <c r="I260" s="2" t="s">
        <v>26</v>
      </c>
      <c r="J260" s="2" t="n">
        <v>0</v>
      </c>
      <c r="K260" s="2" t="n">
        <v>1.389</v>
      </c>
      <c r="L260" s="2" t="n">
        <v>13</v>
      </c>
      <c r="M260" s="2" t="s">
        <v>27</v>
      </c>
      <c r="N260" s="3" t="n">
        <v>94.54</v>
      </c>
      <c r="O260" s="3" t="n">
        <v>-4.5049</v>
      </c>
      <c r="P260" s="3" t="n">
        <v>153.522</v>
      </c>
      <c r="Q260" s="3" t="s">
        <v>629</v>
      </c>
      <c r="R260" s="2"/>
      <c r="S260" s="2" t="s">
        <v>89</v>
      </c>
      <c r="T260" s="4" t="n">
        <f aca="false">DATE(VALUE(MID(C260,7,4)),VALUE(MID(C260,4,2)),VALUE(MID(C260,1,2)))+TIME(VALUE(MID(C260,12,2)),VALUE(MID(C260,15,2)),0)</f>
        <v>42721.4520833333</v>
      </c>
      <c r="U260" s="2" t="str">
        <f aca="false">IF(AND(ISNUMBER(VALUE(MID(A260,7,1))),ISNUMBER(SEARCH("km",A260)),ISNUMBER(SEARCH("of",A260))),"Distance-location","Named-region")</f>
        <v>Named-region</v>
      </c>
      <c r="V260" s="2" t="str">
        <f aca="false">LOWER(M260)</f>
        <v>mww</v>
      </c>
      <c r="W260" s="5" t="str">
        <f aca="false">IF(COUNTIFS($A$2:$A$1001,A260,$C$2:$C$1001,C260)&gt;1,"Duplicate","Unique")</f>
        <v>Unique</v>
      </c>
    </row>
    <row r="261" customFormat="false" ht="15" hidden="false" customHeight="false" outlineLevel="0" collapsed="false">
      <c r="A261" s="2" t="s">
        <v>756</v>
      </c>
      <c r="B261" s="3" t="n">
        <v>6.9</v>
      </c>
      <c r="C261" s="2" t="s">
        <v>757</v>
      </c>
      <c r="D261" s="2" t="n">
        <v>8</v>
      </c>
      <c r="E261" s="2" t="n">
        <v>6</v>
      </c>
      <c r="F261" s="2" t="s">
        <v>25</v>
      </c>
      <c r="G261" s="2" t="n">
        <v>1</v>
      </c>
      <c r="H261" s="2" t="n">
        <v>737</v>
      </c>
      <c r="I261" s="2" t="s">
        <v>26</v>
      </c>
      <c r="J261" s="2" t="n">
        <v>0</v>
      </c>
      <c r="K261" s="2" t="n">
        <v>1.747</v>
      </c>
      <c r="L261" s="2" t="n">
        <v>26</v>
      </c>
      <c r="M261" s="2" t="s">
        <v>27</v>
      </c>
      <c r="N261" s="3" t="n">
        <v>19.73</v>
      </c>
      <c r="O261" s="3" t="n">
        <v>-10.749</v>
      </c>
      <c r="P261" s="3" t="n">
        <v>161.132</v>
      </c>
      <c r="Q261" s="3" t="s">
        <v>585</v>
      </c>
      <c r="R261" s="2"/>
      <c r="S261" s="2"/>
      <c r="T261" s="4" t="n">
        <f aca="false">DATE(VALUE(MID(C261,7,4)),VALUE(MID(C261,4,2)),VALUE(MID(C261,1,2)))+TIME(VALUE(MID(C261,12,2)),VALUE(MID(C261,15,2)),0)</f>
        <v>42713.7986111111</v>
      </c>
      <c r="U261" s="2" t="str">
        <f aca="false">IF(AND(ISNUMBER(VALUE(MID(A261,7,1))),ISNUMBER(SEARCH("km",A261)),ISNUMBER(SEARCH("of",A261))),"Distance-location","Named-region")</f>
        <v>Named-region</v>
      </c>
      <c r="V261" s="2" t="str">
        <f aca="false">LOWER(M261)</f>
        <v>mww</v>
      </c>
      <c r="W261" s="5" t="str">
        <f aca="false">IF(COUNTIFS($A$2:$A$1001,A261,$C$2:$C$1001,C261)&gt;1,"Duplicate","Unique")</f>
        <v>Unique</v>
      </c>
    </row>
    <row r="262" customFormat="false" ht="15" hidden="false" customHeight="false" outlineLevel="0" collapsed="false">
      <c r="A262" s="2" t="s">
        <v>758</v>
      </c>
      <c r="B262" s="3" t="n">
        <v>6.5</v>
      </c>
      <c r="C262" s="2" t="s">
        <v>759</v>
      </c>
      <c r="D262" s="2" t="n">
        <v>0</v>
      </c>
      <c r="E262" s="2" t="n">
        <v>5</v>
      </c>
      <c r="F262" s="2" t="s">
        <v>25</v>
      </c>
      <c r="G262" s="2" t="n">
        <v>0</v>
      </c>
      <c r="H262" s="2" t="n">
        <v>650</v>
      </c>
      <c r="I262" s="2" t="s">
        <v>26</v>
      </c>
      <c r="J262" s="2" t="n">
        <v>0</v>
      </c>
      <c r="K262" s="2" t="n">
        <v>1.937</v>
      </c>
      <c r="L262" s="2" t="n">
        <v>18</v>
      </c>
      <c r="M262" s="2" t="s">
        <v>27</v>
      </c>
      <c r="N262" s="3" t="n">
        <v>12.26</v>
      </c>
      <c r="O262" s="3" t="n">
        <v>-10.8416</v>
      </c>
      <c r="P262" s="3" t="n">
        <v>161.314</v>
      </c>
      <c r="Q262" s="3" t="s">
        <v>585</v>
      </c>
      <c r="R262" s="2"/>
      <c r="S262" s="2"/>
      <c r="T262" s="4" t="n">
        <f aca="false">DATE(VALUE(MID(C262,7,4)),VALUE(MID(C262,4,2)),VALUE(MID(C262,1,2)))+TIME(VALUE(MID(C262,12,2)),VALUE(MID(C262,15,2)),0)</f>
        <v>42712.9138888889</v>
      </c>
      <c r="U262" s="2" t="str">
        <f aca="false">IF(AND(ISNUMBER(VALUE(MID(A262,7,1))),ISNUMBER(SEARCH("km",A262)),ISNUMBER(SEARCH("of",A262))),"Distance-location","Named-region")</f>
        <v>Named-region</v>
      </c>
      <c r="V262" s="2" t="str">
        <f aca="false">LOWER(M262)</f>
        <v>mww</v>
      </c>
      <c r="W262" s="5" t="str">
        <f aca="false">IF(COUNTIFS($A$2:$A$1001,A262,$C$2:$C$1001,C262)&gt;1,"Duplicate","Unique")</f>
        <v>Unique</v>
      </c>
    </row>
    <row r="263" customFormat="false" ht="15" hidden="false" customHeight="false" outlineLevel="0" collapsed="false">
      <c r="A263" s="2" t="s">
        <v>760</v>
      </c>
      <c r="B263" s="3" t="n">
        <v>7.8</v>
      </c>
      <c r="C263" s="2" t="s">
        <v>761</v>
      </c>
      <c r="D263" s="2" t="n">
        <v>9</v>
      </c>
      <c r="E263" s="2" t="n">
        <v>8</v>
      </c>
      <c r="F263" s="2" t="s">
        <v>25</v>
      </c>
      <c r="G263" s="2" t="n">
        <v>1</v>
      </c>
      <c r="H263" s="2" t="n">
        <v>961</v>
      </c>
      <c r="I263" s="2" t="s">
        <v>26</v>
      </c>
      <c r="J263" s="2" t="n">
        <v>0</v>
      </c>
      <c r="K263" s="2" t="n">
        <v>1.836</v>
      </c>
      <c r="L263" s="2" t="n">
        <v>13</v>
      </c>
      <c r="M263" s="2" t="s">
        <v>27</v>
      </c>
      <c r="N263" s="3" t="n">
        <v>40</v>
      </c>
      <c r="O263" s="3" t="n">
        <v>-10.6812</v>
      </c>
      <c r="P263" s="3" t="n">
        <v>161.327</v>
      </c>
      <c r="Q263" s="3" t="s">
        <v>585</v>
      </c>
      <c r="R263" s="2"/>
      <c r="S263" s="2" t="s">
        <v>144</v>
      </c>
      <c r="T263" s="4" t="n">
        <f aca="false">DATE(VALUE(MID(C263,7,4)),VALUE(MID(C263,4,2)),VALUE(MID(C263,1,2)))+TIME(VALUE(MID(C263,12,2)),VALUE(MID(C263,15,2)),0)</f>
        <v>42712.7347222222</v>
      </c>
      <c r="U263" s="2" t="str">
        <f aca="false">IF(AND(ISNUMBER(VALUE(MID(A263,7,1))),ISNUMBER(SEARCH("km",A263)),ISNUMBER(SEARCH("of",A263))),"Distance-location","Named-region")</f>
        <v>Named-region</v>
      </c>
      <c r="V263" s="2" t="str">
        <f aca="false">LOWER(M263)</f>
        <v>mww</v>
      </c>
      <c r="W263" s="5" t="str">
        <f aca="false">IF(COUNTIFS($A$2:$A$1001,A263,$C$2:$C$1001,C263)&gt;1,"Duplicate","Unique")</f>
        <v>Unique</v>
      </c>
    </row>
    <row r="264" customFormat="false" ht="15" hidden="false" customHeight="false" outlineLevel="0" collapsed="false">
      <c r="A264" s="2" t="s">
        <v>762</v>
      </c>
      <c r="B264" s="3" t="n">
        <v>6.6</v>
      </c>
      <c r="C264" s="2" t="s">
        <v>763</v>
      </c>
      <c r="D264" s="2" t="n">
        <v>5</v>
      </c>
      <c r="E264" s="2" t="n">
        <v>4</v>
      </c>
      <c r="F264" s="2" t="s">
        <v>25</v>
      </c>
      <c r="G264" s="2" t="n">
        <v>1</v>
      </c>
      <c r="H264" s="2" t="n">
        <v>1120</v>
      </c>
      <c r="I264" s="2" t="s">
        <v>26</v>
      </c>
      <c r="J264" s="2" t="n">
        <v>0</v>
      </c>
      <c r="K264" s="2" t="n">
        <v>1.405</v>
      </c>
      <c r="L264" s="2" t="n">
        <v>55</v>
      </c>
      <c r="M264" s="2" t="s">
        <v>27</v>
      </c>
      <c r="N264" s="3" t="n">
        <v>8.45</v>
      </c>
      <c r="O264" s="3" t="n">
        <v>40.4535</v>
      </c>
      <c r="P264" s="3" t="n">
        <v>-126.194</v>
      </c>
      <c r="Q264" s="3" t="s">
        <v>764</v>
      </c>
      <c r="R264" s="2"/>
      <c r="S264" s="2"/>
      <c r="T264" s="4" t="n">
        <f aca="false">DATE(VALUE(MID(C264,7,4)),VALUE(MID(C264,4,2)),VALUE(MID(C264,1,2)))+TIME(VALUE(MID(C264,12,2)),VALUE(MID(C264,15,2)),0)</f>
        <v>42712.6173611111</v>
      </c>
      <c r="U264" s="2" t="str">
        <f aca="false">IF(AND(ISNUMBER(VALUE(MID(A264,7,1))),ISNUMBER(SEARCH("km",A264)),ISNUMBER(SEARCH("of",A264))),"Distance-location","Named-region")</f>
        <v>Named-region</v>
      </c>
      <c r="V264" s="2" t="str">
        <f aca="false">LOWER(M264)</f>
        <v>mww</v>
      </c>
      <c r="W264" s="5" t="str">
        <f aca="false">IF(COUNTIFS($A$2:$A$1001,A264,$C$2:$C$1001,C264)&gt;1,"Duplicate","Unique")</f>
        <v>Unique</v>
      </c>
    </row>
    <row r="265" customFormat="false" ht="15" hidden="false" customHeight="false" outlineLevel="0" collapsed="false">
      <c r="A265" s="2" t="s">
        <v>765</v>
      </c>
      <c r="B265" s="3" t="n">
        <v>6.5</v>
      </c>
      <c r="C265" s="2" t="s">
        <v>766</v>
      </c>
      <c r="D265" s="2" t="n">
        <v>9</v>
      </c>
      <c r="E265" s="2" t="n">
        <v>8</v>
      </c>
      <c r="F265" s="2" t="s">
        <v>32</v>
      </c>
      <c r="G265" s="2" t="n">
        <v>0</v>
      </c>
      <c r="H265" s="2" t="n">
        <v>731</v>
      </c>
      <c r="I265" s="2" t="s">
        <v>26</v>
      </c>
      <c r="J265" s="2" t="n">
        <v>0</v>
      </c>
      <c r="K265" s="2" t="n">
        <v>0.778</v>
      </c>
      <c r="L265" s="2" t="n">
        <v>27</v>
      </c>
      <c r="M265" s="2" t="s">
        <v>27</v>
      </c>
      <c r="N265" s="3" t="n">
        <v>13</v>
      </c>
      <c r="O265" s="3" t="n">
        <v>5.2834</v>
      </c>
      <c r="P265" s="3" t="n">
        <v>96.1678</v>
      </c>
      <c r="Q265" s="3" t="s">
        <v>767</v>
      </c>
      <c r="R265" s="2"/>
      <c r="S265" s="2" t="s">
        <v>72</v>
      </c>
      <c r="T265" s="4" t="n">
        <f aca="false">DATE(VALUE(MID(C265,7,4)),VALUE(MID(C265,4,2)),VALUE(MID(C265,1,2)))+TIME(VALUE(MID(C265,12,2)),VALUE(MID(C265,15,2)),0)</f>
        <v>42710.91875</v>
      </c>
      <c r="U265" s="2" t="str">
        <f aca="false">IF(AND(ISNUMBER(VALUE(MID(A265,7,1))),ISNUMBER(SEARCH("km",A265)),ISNUMBER(SEARCH("of",A265))),"Distance-location","Named-region")</f>
        <v>Named-region</v>
      </c>
      <c r="V265" s="2" t="str">
        <f aca="false">LOWER(M265)</f>
        <v>mww</v>
      </c>
      <c r="W265" s="5" t="str">
        <f aca="false">IF(COUNTIFS($A$2:$A$1001,A265,$C$2:$C$1001,C265)&gt;1,"Duplicate","Unique")</f>
        <v>Unique</v>
      </c>
    </row>
    <row r="266" customFormat="false" ht="15" hidden="false" customHeight="false" outlineLevel="0" collapsed="false">
      <c r="A266" s="2" t="s">
        <v>768</v>
      </c>
      <c r="B266" s="3" t="n">
        <v>6.6</v>
      </c>
      <c r="C266" s="2" t="s">
        <v>769</v>
      </c>
      <c r="D266" s="2" t="n">
        <v>8</v>
      </c>
      <c r="E266" s="2" t="n">
        <v>7</v>
      </c>
      <c r="F266" s="2" t="s">
        <v>25</v>
      </c>
      <c r="G266" s="2" t="n">
        <v>0</v>
      </c>
      <c r="H266" s="2" t="n">
        <v>693</v>
      </c>
      <c r="I266" s="2" t="s">
        <v>26</v>
      </c>
      <c r="J266" s="2" t="n">
        <v>0</v>
      </c>
      <c r="K266" s="2" t="n">
        <v>1.697</v>
      </c>
      <c r="L266" s="2" t="n">
        <v>20</v>
      </c>
      <c r="M266" s="2" t="s">
        <v>27</v>
      </c>
      <c r="N266" s="3" t="n">
        <v>17</v>
      </c>
      <c r="O266" s="3" t="n">
        <v>39.2732</v>
      </c>
      <c r="P266" s="3" t="n">
        <v>73.9776</v>
      </c>
      <c r="Q266" s="3" t="s">
        <v>114</v>
      </c>
      <c r="R266" s="2" t="s">
        <v>84</v>
      </c>
      <c r="S266" s="2" t="s">
        <v>188</v>
      </c>
      <c r="T266" s="4" t="n">
        <f aca="false">DATE(VALUE(MID(C266,7,4)),VALUE(MID(C266,4,2)),VALUE(MID(C266,1,2)))+TIME(VALUE(MID(C266,12,2)),VALUE(MID(C266,15,2)),0)</f>
        <v>42699.6</v>
      </c>
      <c r="U266" s="2" t="str">
        <f aca="false">IF(AND(ISNUMBER(VALUE(MID(A266,7,1))),ISNUMBER(SEARCH("km",A266)),ISNUMBER(SEARCH("of",A266))),"Distance-location","Named-region")</f>
        <v>Named-region</v>
      </c>
      <c r="V266" s="2" t="str">
        <f aca="false">LOWER(M266)</f>
        <v>mww</v>
      </c>
      <c r="W266" s="5" t="str">
        <f aca="false">IF(COUNTIFS($A$2:$A$1001,A266,$C$2:$C$1001,C266)&gt;1,"Duplicate","Unique")</f>
        <v>Unique</v>
      </c>
    </row>
    <row r="267" customFormat="false" ht="15" hidden="false" customHeight="false" outlineLevel="0" collapsed="false">
      <c r="A267" s="2" t="s">
        <v>770</v>
      </c>
      <c r="B267" s="3" t="n">
        <v>6.9</v>
      </c>
      <c r="C267" s="2" t="s">
        <v>771</v>
      </c>
      <c r="D267" s="2" t="n">
        <v>5</v>
      </c>
      <c r="E267" s="2" t="n">
        <v>4</v>
      </c>
      <c r="F267" s="2" t="s">
        <v>25</v>
      </c>
      <c r="G267" s="2" t="n">
        <v>1</v>
      </c>
      <c r="H267" s="2" t="n">
        <v>855</v>
      </c>
      <c r="I267" s="2" t="s">
        <v>26</v>
      </c>
      <c r="J267" s="2" t="n">
        <v>0</v>
      </c>
      <c r="K267" s="2" t="n">
        <v>1.796</v>
      </c>
      <c r="L267" s="2" t="n">
        <v>20</v>
      </c>
      <c r="M267" s="2" t="s">
        <v>27</v>
      </c>
      <c r="N267" s="3" t="n">
        <v>10</v>
      </c>
      <c r="O267" s="3" t="n">
        <v>11.9097</v>
      </c>
      <c r="P267" s="3" t="n">
        <v>-88.8968</v>
      </c>
      <c r="Q267" s="3" t="s">
        <v>772</v>
      </c>
      <c r="R267" s="2"/>
      <c r="S267" s="2"/>
      <c r="T267" s="4" t="n">
        <f aca="false">DATE(VALUE(MID(C267,7,4)),VALUE(MID(C267,4,2)),VALUE(MID(C267,1,2)))+TIME(VALUE(MID(C267,12,2)),VALUE(MID(C267,15,2)),0)</f>
        <v>42698.7798611111</v>
      </c>
      <c r="U267" s="2" t="str">
        <f aca="false">IF(AND(ISNUMBER(VALUE(MID(A267,7,1))),ISNUMBER(SEARCH("km",A267)),ISNUMBER(SEARCH("of",A267))),"Distance-location","Named-region")</f>
        <v>Named-region</v>
      </c>
      <c r="V267" s="2" t="str">
        <f aca="false">LOWER(M267)</f>
        <v>mww</v>
      </c>
      <c r="W267" s="5" t="str">
        <f aca="false">IF(COUNTIFS($A$2:$A$1001,A267,$C$2:$C$1001,C267)&gt;1,"Duplicate","Unique")</f>
        <v>Unique</v>
      </c>
    </row>
    <row r="268" customFormat="false" ht="15" hidden="false" customHeight="false" outlineLevel="0" collapsed="false">
      <c r="A268" s="2" t="s">
        <v>773</v>
      </c>
      <c r="B268" s="3" t="n">
        <v>6.9</v>
      </c>
      <c r="C268" s="2" t="s">
        <v>774</v>
      </c>
      <c r="D268" s="2" t="n">
        <v>9</v>
      </c>
      <c r="E268" s="2" t="n">
        <v>6</v>
      </c>
      <c r="F268" s="2" t="s">
        <v>25</v>
      </c>
      <c r="G268" s="2" t="n">
        <v>1</v>
      </c>
      <c r="H268" s="2" t="n">
        <v>1144</v>
      </c>
      <c r="I268" s="2" t="s">
        <v>26</v>
      </c>
      <c r="J268" s="2" t="n">
        <v>0</v>
      </c>
      <c r="K268" s="2" t="n">
        <v>0.671</v>
      </c>
      <c r="L268" s="2" t="n">
        <v>10</v>
      </c>
      <c r="M268" s="2" t="s">
        <v>27</v>
      </c>
      <c r="N268" s="3" t="n">
        <v>9</v>
      </c>
      <c r="O268" s="3" t="n">
        <v>37.3931</v>
      </c>
      <c r="P268" s="3" t="n">
        <v>141.387</v>
      </c>
      <c r="Q268" s="3" t="s">
        <v>221</v>
      </c>
      <c r="R268" s="2" t="s">
        <v>84</v>
      </c>
      <c r="S268" s="2"/>
      <c r="T268" s="4" t="n">
        <f aca="false">DATE(VALUE(MID(C268,7,4)),VALUE(MID(C268,4,2)),VALUE(MID(C268,1,2)))+TIME(VALUE(MID(C268,12,2)),VALUE(MID(C268,15,2)),0)</f>
        <v>42695.8743055556</v>
      </c>
      <c r="U268" s="2" t="str">
        <f aca="false">IF(AND(ISNUMBER(VALUE(MID(A268,7,1))),ISNUMBER(SEARCH("km",A268)),ISNUMBER(SEARCH("of",A268))),"Distance-location","Named-region")</f>
        <v>Named-region</v>
      </c>
      <c r="V268" s="2" t="str">
        <f aca="false">LOWER(M268)</f>
        <v>mww</v>
      </c>
      <c r="W268" s="5" t="str">
        <f aca="false">IF(COUNTIFS($A$2:$A$1001,A268,$C$2:$C$1001,C268)&gt;1,"Duplicate","Unique")</f>
        <v>Unique</v>
      </c>
    </row>
    <row r="269" customFormat="false" ht="15" hidden="false" customHeight="false" outlineLevel="0" collapsed="false">
      <c r="A269" s="2" t="s">
        <v>775</v>
      </c>
      <c r="B269" s="3" t="n">
        <v>6.5</v>
      </c>
      <c r="C269" s="2" t="s">
        <v>776</v>
      </c>
      <c r="D269" s="2" t="n">
        <v>7</v>
      </c>
      <c r="E269" s="2" t="n">
        <v>7</v>
      </c>
      <c r="F269" s="2" t="s">
        <v>32</v>
      </c>
      <c r="G269" s="2" t="n">
        <v>1</v>
      </c>
      <c r="H269" s="2" t="n">
        <v>664</v>
      </c>
      <c r="I269" s="2" t="s">
        <v>26</v>
      </c>
      <c r="J269" s="2" t="n">
        <v>0</v>
      </c>
      <c r="K269" s="2" t="n">
        <v>0.283</v>
      </c>
      <c r="L269" s="2" t="n">
        <v>56</v>
      </c>
      <c r="M269" s="2" t="s">
        <v>27</v>
      </c>
      <c r="N269" s="3" t="n">
        <v>9</v>
      </c>
      <c r="O269" s="3" t="n">
        <v>-42.6058</v>
      </c>
      <c r="P269" s="3" t="n">
        <v>173.254</v>
      </c>
      <c r="Q269" s="3" t="s">
        <v>777</v>
      </c>
      <c r="R269" s="2"/>
      <c r="S269" s="2" t="s">
        <v>778</v>
      </c>
      <c r="T269" s="4" t="n">
        <f aca="false">DATE(VALUE(MID(C269,7,4)),VALUE(MID(C269,4,2)),VALUE(MID(C269,1,2)))+TIME(VALUE(MID(C269,12,2)),VALUE(MID(C269,15,2)),0)</f>
        <v>42688.0236111111</v>
      </c>
      <c r="U269" s="2" t="str">
        <f aca="false">IF(AND(ISNUMBER(VALUE(MID(A269,7,1))),ISNUMBER(SEARCH("km",A269)),ISNUMBER(SEARCH("of",A269))),"Distance-location","Named-region")</f>
        <v>Named-region</v>
      </c>
      <c r="V269" s="2" t="str">
        <f aca="false">LOWER(M269)</f>
        <v>mww</v>
      </c>
      <c r="W269" s="5" t="str">
        <f aca="false">IF(COUNTIFS($A$2:$A$1001,A269,$C$2:$C$1001,C269)&gt;1,"Duplicate","Unique")</f>
        <v>Unique</v>
      </c>
    </row>
    <row r="270" customFormat="false" ht="15" hidden="false" customHeight="false" outlineLevel="0" collapsed="false">
      <c r="A270" s="2" t="s">
        <v>779</v>
      </c>
      <c r="B270" s="3" t="n">
        <v>6.5</v>
      </c>
      <c r="C270" s="2" t="s">
        <v>780</v>
      </c>
      <c r="D270" s="2" t="n">
        <v>6</v>
      </c>
      <c r="E270" s="2" t="n">
        <v>7</v>
      </c>
      <c r="F270" s="2" t="s">
        <v>32</v>
      </c>
      <c r="G270" s="2" t="n">
        <v>1</v>
      </c>
      <c r="H270" s="2" t="n">
        <v>656</v>
      </c>
      <c r="I270" s="2" t="s">
        <v>26</v>
      </c>
      <c r="J270" s="2" t="n">
        <v>0</v>
      </c>
      <c r="K270" s="2" t="n">
        <v>0.135</v>
      </c>
      <c r="L270" s="2" t="n">
        <v>58</v>
      </c>
      <c r="M270" s="2" t="s">
        <v>27</v>
      </c>
      <c r="N270" s="3" t="n">
        <v>10</v>
      </c>
      <c r="O270" s="3" t="n">
        <v>-42.3205</v>
      </c>
      <c r="P270" s="3" t="n">
        <v>173.669</v>
      </c>
      <c r="Q270" s="3" t="s">
        <v>781</v>
      </c>
      <c r="R270" s="2"/>
      <c r="S270" s="2" t="s">
        <v>778</v>
      </c>
      <c r="T270" s="4" t="n">
        <f aca="false">DATE(VALUE(MID(C270,7,4)),VALUE(MID(C270,4,2)),VALUE(MID(C270,1,2)))+TIME(VALUE(MID(C270,12,2)),VALUE(MID(C270,15,2)),0)</f>
        <v>42687.4805555556</v>
      </c>
      <c r="U270" s="2" t="str">
        <f aca="false">IF(AND(ISNUMBER(VALUE(MID(A270,7,1))),ISNUMBER(SEARCH("km",A270)),ISNUMBER(SEARCH("of",A270))),"Distance-location","Named-region")</f>
        <v>Named-region</v>
      </c>
      <c r="V270" s="2" t="str">
        <f aca="false">LOWER(M270)</f>
        <v>mww</v>
      </c>
      <c r="W270" s="5" t="str">
        <f aca="false">IF(COUNTIFS($A$2:$A$1001,A270,$C$2:$C$1001,C270)&gt;1,"Duplicate","Unique")</f>
        <v>Unique</v>
      </c>
    </row>
    <row r="271" customFormat="false" ht="15" hidden="false" customHeight="false" outlineLevel="0" collapsed="false">
      <c r="A271" s="2" t="s">
        <v>782</v>
      </c>
      <c r="B271" s="3" t="n">
        <v>7.8</v>
      </c>
      <c r="C271" s="2" t="s">
        <v>783</v>
      </c>
      <c r="D271" s="2" t="n">
        <v>9</v>
      </c>
      <c r="E271" s="2" t="n">
        <v>9</v>
      </c>
      <c r="F271" s="2" t="s">
        <v>99</v>
      </c>
      <c r="G271" s="2" t="n">
        <v>1</v>
      </c>
      <c r="H271" s="2" t="n">
        <v>1545</v>
      </c>
      <c r="I271" s="2" t="s">
        <v>26</v>
      </c>
      <c r="J271" s="2" t="n">
        <v>0</v>
      </c>
      <c r="K271" s="2" t="n">
        <v>0.481</v>
      </c>
      <c r="L271" s="2" t="n">
        <v>21</v>
      </c>
      <c r="M271" s="2" t="s">
        <v>27</v>
      </c>
      <c r="N271" s="3" t="n">
        <v>15.11</v>
      </c>
      <c r="O271" s="3" t="n">
        <v>-42.7373</v>
      </c>
      <c r="P271" s="3" t="n">
        <v>173.054</v>
      </c>
      <c r="Q271" s="3" t="s">
        <v>777</v>
      </c>
      <c r="R271" s="2"/>
      <c r="S271" s="2" t="s">
        <v>778</v>
      </c>
      <c r="T271" s="4" t="n">
        <f aca="false">DATE(VALUE(MID(C271,7,4)),VALUE(MID(C271,4,2)),VALUE(MID(C271,1,2)))+TIME(VALUE(MID(C271,12,2)),VALUE(MID(C271,15,2)),0)</f>
        <v>42687.4597222222</v>
      </c>
      <c r="U271" s="2" t="str">
        <f aca="false">IF(AND(ISNUMBER(VALUE(MID(A271,7,1))),ISNUMBER(SEARCH("km",A271)),ISNUMBER(SEARCH("of",A271))),"Distance-location","Named-region")</f>
        <v>Named-region</v>
      </c>
      <c r="V271" s="2" t="str">
        <f aca="false">LOWER(M271)</f>
        <v>mww</v>
      </c>
      <c r="W271" s="5" t="str">
        <f aca="false">IF(COUNTIFS($A$2:$A$1001,A271,$C$2:$C$1001,C271)&gt;1,"Duplicate","Unique")</f>
        <v>Unique</v>
      </c>
    </row>
    <row r="272" customFormat="false" ht="15" hidden="false" customHeight="false" outlineLevel="0" collapsed="false">
      <c r="A272" s="2" t="s">
        <v>784</v>
      </c>
      <c r="B272" s="3" t="n">
        <v>6.6</v>
      </c>
      <c r="C272" s="2" t="s">
        <v>785</v>
      </c>
      <c r="D272" s="2" t="n">
        <v>9</v>
      </c>
      <c r="E272" s="2" t="n">
        <v>8</v>
      </c>
      <c r="F272" s="2" t="s">
        <v>125</v>
      </c>
      <c r="G272" s="2" t="n">
        <v>0</v>
      </c>
      <c r="H272" s="2" t="n">
        <v>2840</v>
      </c>
      <c r="I272" s="2" t="s">
        <v>26</v>
      </c>
      <c r="J272" s="2" t="n">
        <v>0</v>
      </c>
      <c r="K272" s="2" t="n">
        <v>0.174</v>
      </c>
      <c r="L272" s="2" t="n">
        <v>25</v>
      </c>
      <c r="M272" s="2" t="s">
        <v>27</v>
      </c>
      <c r="N272" s="3" t="n">
        <v>8</v>
      </c>
      <c r="O272" s="3" t="n">
        <v>42.8621</v>
      </c>
      <c r="P272" s="3" t="n">
        <v>13.0961</v>
      </c>
      <c r="Q272" s="3" t="s">
        <v>786</v>
      </c>
      <c r="R272" s="2" t="s">
        <v>365</v>
      </c>
      <c r="S272" s="2" t="s">
        <v>787</v>
      </c>
      <c r="T272" s="4" t="n">
        <f aca="false">DATE(VALUE(MID(C272,7,4)),VALUE(MID(C272,4,2)),VALUE(MID(C272,1,2)))+TIME(VALUE(MID(C272,12,2)),VALUE(MID(C272,15,2)),0)</f>
        <v>42673.2777777778</v>
      </c>
      <c r="U272" s="2" t="str">
        <f aca="false">IF(AND(ISNUMBER(VALUE(MID(A272,7,1))),ISNUMBER(SEARCH("km",A272)),ISNUMBER(SEARCH("of",A272))),"Distance-location","Named-region")</f>
        <v>Named-region</v>
      </c>
      <c r="V272" s="2" t="str">
        <f aca="false">LOWER(M272)</f>
        <v>mww</v>
      </c>
      <c r="W272" s="5" t="str">
        <f aca="false">IF(COUNTIFS($A$2:$A$1001,A272,$C$2:$C$1001,C272)&gt;1,"Duplicate","Unique")</f>
        <v>Unique</v>
      </c>
    </row>
    <row r="273" customFormat="false" ht="15" hidden="false" customHeight="false" outlineLevel="0" collapsed="false">
      <c r="A273" s="2" t="s">
        <v>788</v>
      </c>
      <c r="B273" s="3" t="n">
        <v>6.6</v>
      </c>
      <c r="C273" s="2" t="s">
        <v>789</v>
      </c>
      <c r="D273" s="2" t="n">
        <v>3</v>
      </c>
      <c r="E273" s="2" t="n">
        <v>3</v>
      </c>
      <c r="F273" s="2" t="s">
        <v>25</v>
      </c>
      <c r="G273" s="2" t="n">
        <v>0</v>
      </c>
      <c r="H273" s="2" t="n">
        <v>677</v>
      </c>
      <c r="I273" s="2" t="s">
        <v>26</v>
      </c>
      <c r="J273" s="2" t="n">
        <v>0</v>
      </c>
      <c r="K273" s="2" t="n">
        <v>2.022</v>
      </c>
      <c r="L273" s="2" t="n">
        <v>16</v>
      </c>
      <c r="M273" s="2" t="s">
        <v>27</v>
      </c>
      <c r="N273" s="3" t="n">
        <v>614</v>
      </c>
      <c r="O273" s="3" t="n">
        <v>-4.8626</v>
      </c>
      <c r="P273" s="3" t="n">
        <v>108.163</v>
      </c>
      <c r="Q273" s="3" t="s">
        <v>790</v>
      </c>
      <c r="R273" s="2"/>
      <c r="S273" s="2" t="s">
        <v>72</v>
      </c>
      <c r="T273" s="4" t="n">
        <f aca="false">DATE(VALUE(MID(C273,7,4)),VALUE(MID(C273,4,2)),VALUE(MID(C273,1,2)))+TIME(VALUE(MID(C273,12,2)),VALUE(MID(C273,15,2)),0)</f>
        <v>42662.0180555556</v>
      </c>
      <c r="U273" s="2" t="str">
        <f aca="false">IF(AND(ISNUMBER(VALUE(MID(A273,7,1))),ISNUMBER(SEARCH("km",A273)),ISNUMBER(SEARCH("of",A273))),"Distance-location","Named-region")</f>
        <v>Named-region</v>
      </c>
      <c r="V273" s="2" t="str">
        <f aca="false">LOWER(M273)</f>
        <v>mww</v>
      </c>
      <c r="W273" s="5" t="str">
        <f aca="false">IF(COUNTIFS($A$2:$A$1001,A273,$C$2:$C$1001,C273)&gt;1,"Duplicate","Unique")</f>
        <v>Unique</v>
      </c>
    </row>
    <row r="274" customFormat="false" ht="15" hidden="false" customHeight="false" outlineLevel="0" collapsed="false">
      <c r="A274" s="2" t="s">
        <v>791</v>
      </c>
      <c r="B274" s="3" t="n">
        <v>6.8</v>
      </c>
      <c r="C274" s="2" t="s">
        <v>792</v>
      </c>
      <c r="D274" s="2" t="n">
        <v>3</v>
      </c>
      <c r="E274" s="2" t="n">
        <v>6</v>
      </c>
      <c r="F274" s="2" t="s">
        <v>25</v>
      </c>
      <c r="G274" s="2" t="n">
        <v>1</v>
      </c>
      <c r="H274" s="2" t="n">
        <v>716</v>
      </c>
      <c r="I274" s="2" t="s">
        <v>26</v>
      </c>
      <c r="J274" s="2" t="n">
        <v>0</v>
      </c>
      <c r="K274" s="2" t="n">
        <v>3.727</v>
      </c>
      <c r="L274" s="2" t="n">
        <v>11</v>
      </c>
      <c r="M274" s="2" t="s">
        <v>27</v>
      </c>
      <c r="N274" s="3" t="n">
        <v>42</v>
      </c>
      <c r="O274" s="3" t="n">
        <v>-6.0033</v>
      </c>
      <c r="P274" s="3" t="n">
        <v>148.887</v>
      </c>
      <c r="Q274" s="3" t="s">
        <v>793</v>
      </c>
      <c r="R274" s="2"/>
      <c r="S274" s="2" t="s">
        <v>89</v>
      </c>
      <c r="T274" s="4" t="n">
        <f aca="false">DATE(VALUE(MID(C274,7,4)),VALUE(MID(C274,4,2)),VALUE(MID(C274,1,2)))+TIME(VALUE(MID(C274,12,2)),VALUE(MID(C274,15,2)),0)</f>
        <v>42660.2597222222</v>
      </c>
      <c r="U274" s="2" t="str">
        <f aca="false">IF(AND(ISNUMBER(VALUE(MID(A274,7,1))),ISNUMBER(SEARCH("km",A274)),ISNUMBER(SEARCH("of",A274))),"Distance-location","Named-region")</f>
        <v>Named-region</v>
      </c>
      <c r="V274" s="2" t="str">
        <f aca="false">LOWER(M274)</f>
        <v>mww</v>
      </c>
      <c r="W274" s="5" t="str">
        <f aca="false">IF(COUNTIFS($A$2:$A$1001,A274,$C$2:$C$1001,C274)&gt;1,"Duplicate","Unique")</f>
        <v>Unique</v>
      </c>
    </row>
    <row r="275" customFormat="false" ht="15" hidden="false" customHeight="false" outlineLevel="0" collapsed="false">
      <c r="A275" s="2" t="s">
        <v>794</v>
      </c>
      <c r="B275" s="3" t="n">
        <v>6.9</v>
      </c>
      <c r="C275" s="2" t="s">
        <v>795</v>
      </c>
      <c r="D275" s="2" t="n">
        <v>2</v>
      </c>
      <c r="E275" s="2" t="n">
        <v>3</v>
      </c>
      <c r="F275" s="2" t="s">
        <v>25</v>
      </c>
      <c r="G275" s="2" t="n">
        <v>1</v>
      </c>
      <c r="H275" s="2" t="n">
        <v>733</v>
      </c>
      <c r="I275" s="2" t="s">
        <v>26</v>
      </c>
      <c r="J275" s="2" t="n">
        <v>0</v>
      </c>
      <c r="K275" s="2" t="n">
        <v>4.051</v>
      </c>
      <c r="L275" s="2" t="n">
        <v>9</v>
      </c>
      <c r="M275" s="2" t="s">
        <v>27</v>
      </c>
      <c r="N275" s="3" t="n">
        <v>596.4</v>
      </c>
      <c r="O275" s="3" t="n">
        <v>-19.7819</v>
      </c>
      <c r="P275" s="3" t="n">
        <v>-178.244</v>
      </c>
      <c r="Q275" s="3" t="s">
        <v>796</v>
      </c>
      <c r="R275" s="2"/>
      <c r="S275" s="2" t="s">
        <v>150</v>
      </c>
      <c r="T275" s="4" t="n">
        <f aca="false">DATE(VALUE(MID(C275,7,4)),VALUE(MID(C275,4,2)),VALUE(MID(C275,1,2)))+TIME(VALUE(MID(C275,12,2)),VALUE(MID(C275,15,2)),0)</f>
        <v>42637.8944444444</v>
      </c>
      <c r="U275" s="2" t="str">
        <f aca="false">IF(AND(ISNUMBER(VALUE(MID(A275,7,1))),ISNUMBER(SEARCH("km",A275)),ISNUMBER(SEARCH("of",A275))),"Distance-location","Named-region")</f>
        <v>Named-region</v>
      </c>
      <c r="V275" s="2" t="str">
        <f aca="false">LOWER(M275)</f>
        <v>mww</v>
      </c>
      <c r="W275" s="5" t="str">
        <f aca="false">IF(COUNTIFS($A$2:$A$1001,A275,$C$2:$C$1001,C275)&gt;1,"Duplicate","Unique")</f>
        <v>Unique</v>
      </c>
    </row>
    <row r="276" customFormat="false" ht="15" hidden="false" customHeight="false" outlineLevel="0" collapsed="false">
      <c r="A276" s="2" t="s">
        <v>797</v>
      </c>
      <c r="B276" s="3" t="n">
        <v>7</v>
      </c>
      <c r="C276" s="2" t="s">
        <v>798</v>
      </c>
      <c r="D276" s="2" t="n">
        <v>5</v>
      </c>
      <c r="E276" s="2" t="n">
        <v>6</v>
      </c>
      <c r="F276" s="2" t="s">
        <v>25</v>
      </c>
      <c r="G276" s="2" t="n">
        <v>1</v>
      </c>
      <c r="H276" s="2" t="n">
        <v>897</v>
      </c>
      <c r="I276" s="2" t="s">
        <v>26</v>
      </c>
      <c r="J276" s="2" t="n">
        <v>0</v>
      </c>
      <c r="K276" s="2" t="n">
        <v>0.698</v>
      </c>
      <c r="L276" s="2" t="n">
        <v>21</v>
      </c>
      <c r="M276" s="2" t="s">
        <v>27</v>
      </c>
      <c r="N276" s="3" t="n">
        <v>19</v>
      </c>
      <c r="O276" s="3" t="n">
        <v>-37.3586</v>
      </c>
      <c r="P276" s="3" t="n">
        <v>179.146</v>
      </c>
      <c r="Q276" s="3" t="s">
        <v>346</v>
      </c>
      <c r="R276" s="2"/>
      <c r="S276" s="2"/>
      <c r="T276" s="4" t="n">
        <f aca="false">DATE(VALUE(MID(C276,7,4)),VALUE(MID(C276,4,2)),VALUE(MID(C276,1,2)))+TIME(VALUE(MID(C276,12,2)),VALUE(MID(C276,15,2)),0)</f>
        <v>42614.6923611111</v>
      </c>
      <c r="U276" s="2" t="str">
        <f aca="false">IF(AND(ISNUMBER(VALUE(MID(A276,7,1))),ISNUMBER(SEARCH("km",A276)),ISNUMBER(SEARCH("of",A276))),"Distance-location","Named-region")</f>
        <v>Named-region</v>
      </c>
      <c r="V276" s="2" t="str">
        <f aca="false">LOWER(M276)</f>
        <v>mww</v>
      </c>
      <c r="W276" s="5" t="str">
        <f aca="false">IF(COUNTIFS($A$2:$A$1001,A276,$C$2:$C$1001,C276)&gt;1,"Duplicate","Unique")</f>
        <v>Unique</v>
      </c>
    </row>
    <row r="277" customFormat="false" ht="15" hidden="false" customHeight="false" outlineLevel="0" collapsed="false">
      <c r="A277" s="2" t="s">
        <v>799</v>
      </c>
      <c r="B277" s="3" t="n">
        <v>6.8</v>
      </c>
      <c r="C277" s="2" t="s">
        <v>800</v>
      </c>
      <c r="D277" s="2" t="n">
        <v>4</v>
      </c>
      <c r="E277" s="2" t="n">
        <v>3</v>
      </c>
      <c r="F277" s="2" t="s">
        <v>25</v>
      </c>
      <c r="G277" s="2" t="n">
        <v>1</v>
      </c>
      <c r="H277" s="2" t="n">
        <v>713</v>
      </c>
      <c r="I277" s="2" t="s">
        <v>26</v>
      </c>
      <c r="J277" s="2" t="n">
        <v>0</v>
      </c>
      <c r="K277" s="2" t="n">
        <v>0.803</v>
      </c>
      <c r="L277" s="2" t="n">
        <v>12</v>
      </c>
      <c r="M277" s="2" t="s">
        <v>27</v>
      </c>
      <c r="N277" s="3" t="n">
        <v>476</v>
      </c>
      <c r="O277" s="3" t="n">
        <v>-3.6849</v>
      </c>
      <c r="P277" s="3" t="n">
        <v>152.792</v>
      </c>
      <c r="Q277" s="3" t="s">
        <v>801</v>
      </c>
      <c r="R277" s="2"/>
      <c r="S277" s="2" t="s">
        <v>89</v>
      </c>
      <c r="T277" s="4" t="n">
        <f aca="false">DATE(VALUE(MID(C277,7,4)),VALUE(MID(C277,4,2)),VALUE(MID(C277,1,2)))+TIME(VALUE(MID(C277,12,2)),VALUE(MID(C277,15,2)),0)</f>
        <v>42613.1326388889</v>
      </c>
      <c r="U277" s="2" t="str">
        <f aca="false">IF(AND(ISNUMBER(VALUE(MID(A277,7,1))),ISNUMBER(SEARCH("km",A277)),ISNUMBER(SEARCH("of",A277))),"Distance-location","Named-region")</f>
        <v>Named-region</v>
      </c>
      <c r="V277" s="2" t="str">
        <f aca="false">LOWER(M277)</f>
        <v>mww</v>
      </c>
      <c r="W277" s="5" t="str">
        <f aca="false">IF(COUNTIFS($A$2:$A$1001,A277,$C$2:$C$1001,C277)&gt;1,"Duplicate","Unique")</f>
        <v>Unique</v>
      </c>
    </row>
    <row r="278" customFormat="false" ht="15" hidden="false" customHeight="false" outlineLevel="0" collapsed="false">
      <c r="A278" s="2" t="s">
        <v>802</v>
      </c>
      <c r="B278" s="3" t="n">
        <v>6.8</v>
      </c>
      <c r="C278" s="2" t="s">
        <v>803</v>
      </c>
      <c r="D278" s="2" t="n">
        <v>6</v>
      </c>
      <c r="E278" s="2" t="n">
        <v>6</v>
      </c>
      <c r="F278" s="2" t="s">
        <v>32</v>
      </c>
      <c r="G278" s="2" t="n">
        <v>0</v>
      </c>
      <c r="H278" s="2" t="n">
        <v>981</v>
      </c>
      <c r="I278" s="2" t="s">
        <v>26</v>
      </c>
      <c r="J278" s="2" t="n">
        <v>0</v>
      </c>
      <c r="K278" s="2" t="n">
        <v>1.802</v>
      </c>
      <c r="L278" s="2" t="n">
        <v>17</v>
      </c>
      <c r="M278" s="2" t="s">
        <v>27</v>
      </c>
      <c r="N278" s="3" t="n">
        <v>82</v>
      </c>
      <c r="O278" s="3" t="n">
        <v>20.9228</v>
      </c>
      <c r="P278" s="3" t="n">
        <v>94.569</v>
      </c>
      <c r="Q278" s="3" t="s">
        <v>804</v>
      </c>
      <c r="R278" s="2" t="s">
        <v>84</v>
      </c>
      <c r="S278" s="2" t="s">
        <v>805</v>
      </c>
      <c r="T278" s="4" t="n">
        <f aca="false">DATE(VALUE(MID(C278,7,4)),VALUE(MID(C278,4,2)),VALUE(MID(C278,1,2)))+TIME(VALUE(MID(C278,12,2)),VALUE(MID(C278,15,2)),0)</f>
        <v>42606.4402777778</v>
      </c>
      <c r="U278" s="2" t="str">
        <f aca="false">IF(AND(ISNUMBER(VALUE(MID(A278,7,1))),ISNUMBER(SEARCH("km",A278)),ISNUMBER(SEARCH("of",A278))),"Distance-location","Named-region")</f>
        <v>Named-region</v>
      </c>
      <c r="V278" s="2" t="str">
        <f aca="false">LOWER(M278)</f>
        <v>mww</v>
      </c>
      <c r="W278" s="5" t="str">
        <f aca="false">IF(COUNTIFS($A$2:$A$1001,A278,$C$2:$C$1001,C278)&gt;1,"Duplicate","Unique")</f>
        <v>Unique</v>
      </c>
    </row>
    <row r="279" customFormat="false" ht="15" hidden="false" customHeight="false" outlineLevel="0" collapsed="false">
      <c r="A279" s="2" t="s">
        <v>806</v>
      </c>
      <c r="B279" s="3" t="n">
        <v>7.2</v>
      </c>
      <c r="C279" s="2" t="s">
        <v>807</v>
      </c>
      <c r="D279" s="2" t="n">
        <v>6</v>
      </c>
      <c r="E279" s="2" t="n">
        <v>5</v>
      </c>
      <c r="F279" s="2" t="s">
        <v>25</v>
      </c>
      <c r="G279" s="2" t="n">
        <v>1</v>
      </c>
      <c r="H279" s="2" t="n">
        <v>799</v>
      </c>
      <c r="I279" s="2" t="s">
        <v>26</v>
      </c>
      <c r="J279" s="2" t="n">
        <v>0</v>
      </c>
      <c r="K279" s="2" t="n">
        <v>4.823</v>
      </c>
      <c r="L279" s="2" t="n">
        <v>14</v>
      </c>
      <c r="M279" s="2" t="s">
        <v>27</v>
      </c>
      <c r="N279" s="3" t="n">
        <v>16.37</v>
      </c>
      <c r="O279" s="3" t="n">
        <v>-22.4765</v>
      </c>
      <c r="P279" s="3" t="n">
        <v>173.117</v>
      </c>
      <c r="Q279" s="3" t="s">
        <v>61</v>
      </c>
      <c r="R279" s="2"/>
      <c r="S279" s="2"/>
      <c r="T279" s="4" t="n">
        <f aca="false">DATE(VALUE(MID(C279,7,4)),VALUE(MID(C279,4,2)),VALUE(MID(C279,1,2)))+TIME(VALUE(MID(C279,12,2)),VALUE(MID(C279,15,2)),0)</f>
        <v>42594.0597222222</v>
      </c>
      <c r="U279" s="2" t="str">
        <f aca="false">IF(AND(ISNUMBER(VALUE(MID(A279,7,1))),ISNUMBER(SEARCH("km",A279)),ISNUMBER(SEARCH("of",A279))),"Distance-location","Named-region")</f>
        <v>Named-region</v>
      </c>
      <c r="V279" s="2" t="str">
        <f aca="false">LOWER(M279)</f>
        <v>mww</v>
      </c>
      <c r="W279" s="5" t="str">
        <f aca="false">IF(COUNTIFS($A$2:$A$1001,A279,$C$2:$C$1001,C279)&gt;1,"Duplicate","Unique")</f>
        <v>Unique</v>
      </c>
    </row>
    <row r="280" customFormat="false" ht="28.35" hidden="false" customHeight="false" outlineLevel="0" collapsed="false">
      <c r="A280" s="2" t="s">
        <v>808</v>
      </c>
      <c r="B280" s="3" t="n">
        <v>7.7</v>
      </c>
      <c r="C280" s="2" t="s">
        <v>809</v>
      </c>
      <c r="D280" s="2" t="n">
        <v>5</v>
      </c>
      <c r="E280" s="2" t="n">
        <v>6</v>
      </c>
      <c r="F280" s="2" t="s">
        <v>25</v>
      </c>
      <c r="G280" s="2" t="n">
        <v>1</v>
      </c>
      <c r="H280" s="2" t="n">
        <v>971</v>
      </c>
      <c r="I280" s="2" t="s">
        <v>26</v>
      </c>
      <c r="J280" s="2" t="n">
        <v>0</v>
      </c>
      <c r="K280" s="2" t="n">
        <v>3.294</v>
      </c>
      <c r="L280" s="2" t="n">
        <v>14</v>
      </c>
      <c r="M280" s="2" t="s">
        <v>27</v>
      </c>
      <c r="N280" s="3" t="n">
        <v>196</v>
      </c>
      <c r="O280" s="3" t="n">
        <v>18.5429</v>
      </c>
      <c r="P280" s="3" t="n">
        <v>145.507</v>
      </c>
      <c r="Q280" s="3" t="s">
        <v>810</v>
      </c>
      <c r="R280" s="2"/>
      <c r="S280" s="2"/>
      <c r="T280" s="4" t="n">
        <f aca="false">DATE(VALUE(MID(C280,7,4)),VALUE(MID(C280,4,2)),VALUE(MID(C280,1,2)))+TIME(VALUE(MID(C280,12,2)),VALUE(MID(C280,15,2)),0)</f>
        <v>42580.8875</v>
      </c>
      <c r="U280" s="2" t="str">
        <f aca="false">IF(AND(ISNUMBER(VALUE(MID(A280,7,1))),ISNUMBER(SEARCH("km",A280)),ISNUMBER(SEARCH("of",A280))),"Distance-location","Named-region")</f>
        <v>Named-region</v>
      </c>
      <c r="V280" s="2" t="str">
        <f aca="false">LOWER(M280)</f>
        <v>mww</v>
      </c>
      <c r="W280" s="5" t="str">
        <f aca="false">IF(COUNTIFS($A$2:$A$1001,A280,$C$2:$C$1001,C280)&gt;1,"Duplicate","Unique")</f>
        <v>Unique</v>
      </c>
    </row>
    <row r="281" customFormat="false" ht="15" hidden="false" customHeight="false" outlineLevel="0" collapsed="false">
      <c r="A281" s="2" t="s">
        <v>811</v>
      </c>
      <c r="B281" s="3" t="n">
        <v>6.6</v>
      </c>
      <c r="C281" s="2" t="s">
        <v>812</v>
      </c>
      <c r="D281" s="2" t="n">
        <v>4</v>
      </c>
      <c r="E281" s="2" t="n">
        <v>6</v>
      </c>
      <c r="F281" s="2" t="s">
        <v>25</v>
      </c>
      <c r="G281" s="2" t="n">
        <v>0</v>
      </c>
      <c r="H281" s="2" t="n">
        <v>671</v>
      </c>
      <c r="I281" s="2" t="s">
        <v>26</v>
      </c>
      <c r="J281" s="2" t="n">
        <v>0</v>
      </c>
      <c r="K281" s="2" t="n">
        <v>2.435</v>
      </c>
      <c r="L281" s="2" t="n">
        <v>16</v>
      </c>
      <c r="M281" s="2" t="s">
        <v>27</v>
      </c>
      <c r="N281" s="3" t="n">
        <v>50</v>
      </c>
      <c r="O281" s="3" t="n">
        <v>-2.0967</v>
      </c>
      <c r="P281" s="3" t="n">
        <v>100.665</v>
      </c>
      <c r="Q281" s="3" t="s">
        <v>813</v>
      </c>
      <c r="R281" s="2"/>
      <c r="S281" s="2" t="s">
        <v>72</v>
      </c>
      <c r="T281" s="4" t="n">
        <f aca="false">DATE(VALUE(MID(C281,7,4)),VALUE(MID(C281,4,2)),VALUE(MID(C281,1,2)))+TIME(VALUE(MID(C281,12,2)),VALUE(MID(C281,15,2)),0)</f>
        <v>42522.9555555556</v>
      </c>
      <c r="U281" s="2" t="str">
        <f aca="false">IF(AND(ISNUMBER(VALUE(MID(A281,7,1))),ISNUMBER(SEARCH("km",A281)),ISNUMBER(SEARCH("of",A281))),"Distance-location","Named-region")</f>
        <v>Named-region</v>
      </c>
      <c r="V281" s="2" t="str">
        <f aca="false">LOWER(M281)</f>
        <v>mww</v>
      </c>
      <c r="W281" s="5" t="str">
        <f aca="false">IF(COUNTIFS($A$2:$A$1001,A281,$C$2:$C$1001,C281)&gt;1,"Duplicate","Unique")</f>
        <v>Unique</v>
      </c>
    </row>
    <row r="282" customFormat="false" ht="15" hidden="false" customHeight="false" outlineLevel="0" collapsed="false">
      <c r="A282" s="2" t="s">
        <v>814</v>
      </c>
      <c r="B282" s="3" t="n">
        <v>7.2</v>
      </c>
      <c r="C282" s="2" t="s">
        <v>815</v>
      </c>
      <c r="D282" s="2" t="n">
        <v>1</v>
      </c>
      <c r="E282" s="2" t="n">
        <v>6</v>
      </c>
      <c r="F282" s="2" t="s">
        <v>25</v>
      </c>
      <c r="G282" s="2" t="n">
        <v>1</v>
      </c>
      <c r="H282" s="2" t="n">
        <v>798</v>
      </c>
      <c r="I282" s="2" t="s">
        <v>26</v>
      </c>
      <c r="J282" s="2" t="n">
        <v>0</v>
      </c>
      <c r="K282" s="2" t="n">
        <v>5.803</v>
      </c>
      <c r="L282" s="2" t="n">
        <v>24</v>
      </c>
      <c r="M282" s="2" t="s">
        <v>27</v>
      </c>
      <c r="N282" s="3" t="n">
        <v>78</v>
      </c>
      <c r="O282" s="3" t="n">
        <v>-56.2409</v>
      </c>
      <c r="P282" s="3" t="n">
        <v>-26.9353</v>
      </c>
      <c r="Q282" s="3" t="s">
        <v>279</v>
      </c>
      <c r="R282" s="2"/>
      <c r="S282" s="2"/>
      <c r="T282" s="4" t="n">
        <f aca="false">DATE(VALUE(MID(C282,7,4)),VALUE(MID(C282,4,2)),VALUE(MID(C282,1,2)))+TIME(VALUE(MID(C282,12,2)),VALUE(MID(C282,15,2)),0)</f>
        <v>42518.4069444445</v>
      </c>
      <c r="U282" s="2" t="str">
        <f aca="false">IF(AND(ISNUMBER(VALUE(MID(A282,7,1))),ISNUMBER(SEARCH("km",A282)),ISNUMBER(SEARCH("of",A282))),"Distance-location","Named-region")</f>
        <v>Named-region</v>
      </c>
      <c r="V282" s="2" t="str">
        <f aca="false">LOWER(M282)</f>
        <v>mww</v>
      </c>
      <c r="W282" s="5" t="str">
        <f aca="false">IF(COUNTIFS($A$2:$A$1001,A282,$C$2:$C$1001,C282)&gt;1,"Duplicate","Unique")</f>
        <v>Unique</v>
      </c>
    </row>
    <row r="283" customFormat="false" ht="15" hidden="false" customHeight="false" outlineLevel="0" collapsed="false">
      <c r="A283" s="2" t="s">
        <v>204</v>
      </c>
      <c r="B283" s="3" t="n">
        <v>6.9</v>
      </c>
      <c r="C283" s="2" t="s">
        <v>816</v>
      </c>
      <c r="D283" s="2" t="n">
        <v>3</v>
      </c>
      <c r="E283" s="2" t="n">
        <v>3</v>
      </c>
      <c r="F283" s="2" t="s">
        <v>25</v>
      </c>
      <c r="G283" s="2" t="n">
        <v>1</v>
      </c>
      <c r="H283" s="2" t="n">
        <v>733</v>
      </c>
      <c r="I283" s="2" t="s">
        <v>26</v>
      </c>
      <c r="J283" s="2" t="n">
        <v>0</v>
      </c>
      <c r="K283" s="2" t="n">
        <v>5.485</v>
      </c>
      <c r="L283" s="2" t="n">
        <v>19</v>
      </c>
      <c r="M283" s="2" t="s">
        <v>27</v>
      </c>
      <c r="N283" s="3" t="n">
        <v>405.69</v>
      </c>
      <c r="O283" s="3" t="n">
        <v>-21.9724</v>
      </c>
      <c r="P283" s="3" t="n">
        <v>-178.204</v>
      </c>
      <c r="Q283" s="3"/>
      <c r="R283" s="2"/>
      <c r="S283" s="2"/>
      <c r="T283" s="4" t="n">
        <f aca="false">DATE(VALUE(MID(C283,7,4)),VALUE(MID(C283,4,2)),VALUE(MID(C283,1,2)))+TIME(VALUE(MID(C283,12,2)),VALUE(MID(C283,15,2)),0)</f>
        <v>42518.2347222222</v>
      </c>
      <c r="U283" s="2" t="str">
        <f aca="false">IF(AND(ISNUMBER(VALUE(MID(A283,7,1))),ISNUMBER(SEARCH("km",A283)),ISNUMBER(SEARCH("of",A283))),"Distance-location","Named-region")</f>
        <v>Named-region</v>
      </c>
      <c r="V283" s="2" t="str">
        <f aca="false">LOWER(M283)</f>
        <v>mww</v>
      </c>
      <c r="W283" s="5" t="str">
        <f aca="false">IF(COUNTIFS($A$2:$A$1001,A283,$C$2:$C$1001,C283)&gt;1,"Duplicate","Unique")</f>
        <v>Unique</v>
      </c>
    </row>
    <row r="284" customFormat="false" ht="15" hidden="false" customHeight="false" outlineLevel="0" collapsed="false">
      <c r="A284" s="2" t="s">
        <v>817</v>
      </c>
      <c r="B284" s="3" t="n">
        <v>6.9</v>
      </c>
      <c r="C284" s="2" t="s">
        <v>818</v>
      </c>
      <c r="D284" s="2" t="n">
        <v>8</v>
      </c>
      <c r="E284" s="2" t="n">
        <v>7</v>
      </c>
      <c r="F284" s="2" t="s">
        <v>25</v>
      </c>
      <c r="G284" s="2" t="n">
        <v>1</v>
      </c>
      <c r="H284" s="2" t="n">
        <v>780</v>
      </c>
      <c r="I284" s="2" t="s">
        <v>26</v>
      </c>
      <c r="J284" s="2" t="n">
        <v>0</v>
      </c>
      <c r="K284" s="2" t="n">
        <v>1.192</v>
      </c>
      <c r="L284" s="2" t="n">
        <v>17</v>
      </c>
      <c r="M284" s="2" t="s">
        <v>27</v>
      </c>
      <c r="N284" s="3" t="n">
        <v>29.95</v>
      </c>
      <c r="O284" s="3" t="n">
        <v>0.4947</v>
      </c>
      <c r="P284" s="3" t="n">
        <v>-79.616</v>
      </c>
      <c r="Q284" s="3" t="s">
        <v>819</v>
      </c>
      <c r="R284" s="2" t="s">
        <v>37</v>
      </c>
      <c r="S284" s="2" t="s">
        <v>100</v>
      </c>
      <c r="T284" s="4" t="n">
        <f aca="false">DATE(VALUE(MID(C284,7,4)),VALUE(MID(C284,4,2)),VALUE(MID(C284,1,2)))+TIME(VALUE(MID(C284,12,2)),VALUE(MID(C284,15,2)),0)</f>
        <v>42508.6986111111</v>
      </c>
      <c r="U284" s="2" t="str">
        <f aca="false">IF(AND(ISNUMBER(VALUE(MID(A284,7,1))),ISNUMBER(SEARCH("km",A284)),ISNUMBER(SEARCH("of",A284))),"Distance-location","Named-region")</f>
        <v>Named-region</v>
      </c>
      <c r="V284" s="2" t="str">
        <f aca="false">LOWER(M284)</f>
        <v>mww</v>
      </c>
      <c r="W284" s="5" t="str">
        <f aca="false">IF(COUNTIFS($A$2:$A$1001,A284,$C$2:$C$1001,C284)&gt;1,"Duplicate","Unique")</f>
        <v>Unique</v>
      </c>
    </row>
    <row r="285" customFormat="false" ht="15" hidden="false" customHeight="false" outlineLevel="0" collapsed="false">
      <c r="A285" s="2" t="s">
        <v>820</v>
      </c>
      <c r="B285" s="3" t="n">
        <v>6.7</v>
      </c>
      <c r="C285" s="2" t="s">
        <v>821</v>
      </c>
      <c r="D285" s="2" t="n">
        <v>5</v>
      </c>
      <c r="E285" s="2" t="n">
        <v>7</v>
      </c>
      <c r="F285" s="2" t="s">
        <v>25</v>
      </c>
      <c r="G285" s="2" t="n">
        <v>1</v>
      </c>
      <c r="H285" s="2" t="n">
        <v>744</v>
      </c>
      <c r="I285" s="2" t="s">
        <v>26</v>
      </c>
      <c r="J285" s="2" t="n">
        <v>0</v>
      </c>
      <c r="K285" s="2" t="n">
        <v>1.352</v>
      </c>
      <c r="L285" s="2" t="n">
        <v>21</v>
      </c>
      <c r="M285" s="2" t="s">
        <v>27</v>
      </c>
      <c r="N285" s="3" t="n">
        <v>16</v>
      </c>
      <c r="O285" s="3" t="n">
        <v>0.4261</v>
      </c>
      <c r="P285" s="3" t="n">
        <v>-79.7899</v>
      </c>
      <c r="Q285" s="3" t="s">
        <v>822</v>
      </c>
      <c r="R285" s="2" t="s">
        <v>37</v>
      </c>
      <c r="S285" s="2" t="s">
        <v>100</v>
      </c>
      <c r="T285" s="4" t="n">
        <f aca="false">DATE(VALUE(MID(C285,7,4)),VALUE(MID(C285,4,2)),VALUE(MID(C285,1,2)))+TIME(VALUE(MID(C285,12,2)),VALUE(MID(C285,15,2)),0)</f>
        <v>42508.33125</v>
      </c>
      <c r="U285" s="2" t="str">
        <f aca="false">IF(AND(ISNUMBER(VALUE(MID(A285,7,1))),ISNUMBER(SEARCH("km",A285)),ISNUMBER(SEARCH("of",A285))),"Distance-location","Named-region")</f>
        <v>Named-region</v>
      </c>
      <c r="V285" s="2" t="str">
        <f aca="false">LOWER(M285)</f>
        <v>mww</v>
      </c>
      <c r="W285" s="5" t="str">
        <f aca="false">IF(COUNTIFS($A$2:$A$1001,A285,$C$2:$C$1001,C285)&gt;1,"Duplicate","Unique")</f>
        <v>Unique</v>
      </c>
    </row>
    <row r="286" customFormat="false" ht="15" hidden="false" customHeight="false" outlineLevel="0" collapsed="false">
      <c r="A286" s="2" t="s">
        <v>823</v>
      </c>
      <c r="B286" s="3" t="n">
        <v>7</v>
      </c>
      <c r="C286" s="2" t="s">
        <v>824</v>
      </c>
      <c r="D286" s="2" t="n">
        <v>7</v>
      </c>
      <c r="E286" s="2" t="n">
        <v>7</v>
      </c>
      <c r="F286" s="2" t="s">
        <v>25</v>
      </c>
      <c r="G286" s="2" t="n">
        <v>1</v>
      </c>
      <c r="H286" s="2" t="n">
        <v>755</v>
      </c>
      <c r="I286" s="2" t="s">
        <v>26</v>
      </c>
      <c r="J286" s="2" t="n">
        <v>0</v>
      </c>
      <c r="K286" s="2" t="n">
        <v>0.616</v>
      </c>
      <c r="L286" s="2" t="n">
        <v>14</v>
      </c>
      <c r="M286" s="2" t="s">
        <v>27</v>
      </c>
      <c r="N286" s="3" t="n">
        <v>24</v>
      </c>
      <c r="O286" s="3" t="n">
        <v>-16.0429</v>
      </c>
      <c r="P286" s="3" t="n">
        <v>167.379</v>
      </c>
      <c r="Q286" s="3" t="s">
        <v>825</v>
      </c>
      <c r="R286" s="2"/>
      <c r="S286" s="2" t="s">
        <v>29</v>
      </c>
      <c r="T286" s="4" t="n">
        <f aca="false">DATE(VALUE(MID(C286,7,4)),VALUE(MID(C286,4,2)),VALUE(MID(C286,1,2)))+TIME(VALUE(MID(C286,12,2)),VALUE(MID(C286,15,2)),0)</f>
        <v>42488.8145833333</v>
      </c>
      <c r="U286" s="2" t="str">
        <f aca="false">IF(AND(ISNUMBER(VALUE(MID(A286,7,1))),ISNUMBER(SEARCH("km",A286)),ISNUMBER(SEARCH("of",A286))),"Distance-location","Named-region")</f>
        <v>Named-region</v>
      </c>
      <c r="V286" s="2" t="str">
        <f aca="false">LOWER(M286)</f>
        <v>mww</v>
      </c>
      <c r="W286" s="5" t="str">
        <f aca="false">IF(COUNTIFS($A$2:$A$1001,A286,$C$2:$C$1001,C286)&gt;1,"Duplicate","Unique")</f>
        <v>Unique</v>
      </c>
    </row>
    <row r="287" customFormat="false" ht="15" hidden="false" customHeight="false" outlineLevel="0" collapsed="false">
      <c r="A287" s="2" t="s">
        <v>826</v>
      </c>
      <c r="B287" s="3" t="n">
        <v>7.8</v>
      </c>
      <c r="C287" s="2" t="s">
        <v>827</v>
      </c>
      <c r="D287" s="2" t="n">
        <v>9</v>
      </c>
      <c r="E287" s="2" t="n">
        <v>9</v>
      </c>
      <c r="F287" s="2" t="s">
        <v>99</v>
      </c>
      <c r="G287" s="2" t="n">
        <v>1</v>
      </c>
      <c r="H287" s="2" t="n">
        <v>1163</v>
      </c>
      <c r="I287" s="2" t="s">
        <v>26</v>
      </c>
      <c r="J287" s="2" t="n">
        <v>0</v>
      </c>
      <c r="K287" s="2" t="n">
        <v>1.44</v>
      </c>
      <c r="L287" s="2" t="n">
        <v>15</v>
      </c>
      <c r="M287" s="2" t="s">
        <v>27</v>
      </c>
      <c r="N287" s="3" t="n">
        <v>20.59</v>
      </c>
      <c r="O287" s="3" t="n">
        <v>0.3819</v>
      </c>
      <c r="P287" s="3" t="n">
        <v>-79.9218</v>
      </c>
      <c r="Q287" s="3" t="s">
        <v>822</v>
      </c>
      <c r="R287" s="2" t="s">
        <v>37</v>
      </c>
      <c r="S287" s="2" t="s">
        <v>100</v>
      </c>
      <c r="T287" s="4" t="n">
        <f aca="false">DATE(VALUE(MID(C287,7,4)),VALUE(MID(C287,4,2)),VALUE(MID(C287,1,2)))+TIME(VALUE(MID(C287,12,2)),VALUE(MID(C287,15,2)),0)</f>
        <v>42476.9986111111</v>
      </c>
      <c r="U287" s="2" t="str">
        <f aca="false">IF(AND(ISNUMBER(VALUE(MID(A287,7,1))),ISNUMBER(SEARCH("km",A287)),ISNUMBER(SEARCH("of",A287))),"Distance-location","Named-region")</f>
        <v>Named-region</v>
      </c>
      <c r="V287" s="2" t="str">
        <f aca="false">LOWER(M287)</f>
        <v>mww</v>
      </c>
      <c r="W287" s="5" t="str">
        <f aca="false">IF(COUNTIFS($A$2:$A$1001,A287,$C$2:$C$1001,C287)&gt;1,"Duplicate","Unique")</f>
        <v>Unique</v>
      </c>
    </row>
    <row r="288" customFormat="false" ht="15" hidden="false" customHeight="false" outlineLevel="0" collapsed="false">
      <c r="A288" s="2" t="s">
        <v>828</v>
      </c>
      <c r="B288" s="3" t="n">
        <v>7</v>
      </c>
      <c r="C288" s="2" t="s">
        <v>829</v>
      </c>
      <c r="D288" s="2" t="n">
        <v>9</v>
      </c>
      <c r="E288" s="2" t="n">
        <v>9</v>
      </c>
      <c r="F288" s="2" t="s">
        <v>125</v>
      </c>
      <c r="G288" s="2" t="n">
        <v>1</v>
      </c>
      <c r="H288" s="2" t="n">
        <v>2074</v>
      </c>
      <c r="I288" s="2" t="s">
        <v>26</v>
      </c>
      <c r="J288" s="2" t="n">
        <v>0</v>
      </c>
      <c r="K288" s="2" t="n">
        <v>0.349</v>
      </c>
      <c r="L288" s="2" t="n">
        <v>32</v>
      </c>
      <c r="M288" s="2" t="s">
        <v>27</v>
      </c>
      <c r="N288" s="3" t="n">
        <v>10</v>
      </c>
      <c r="O288" s="3" t="n">
        <v>32.7906</v>
      </c>
      <c r="P288" s="3" t="n">
        <v>130.754</v>
      </c>
      <c r="Q288" s="3" t="s">
        <v>830</v>
      </c>
      <c r="R288" s="2" t="s">
        <v>84</v>
      </c>
      <c r="S288" s="2" t="s">
        <v>326</v>
      </c>
      <c r="T288" s="4" t="n">
        <f aca="false">DATE(VALUE(MID(C288,7,4)),VALUE(MID(C288,4,2)),VALUE(MID(C288,1,2)))+TIME(VALUE(MID(C288,12,2)),VALUE(MID(C288,15,2)),0)</f>
        <v>42475.6840277778</v>
      </c>
      <c r="U288" s="2" t="str">
        <f aca="false">IF(AND(ISNUMBER(VALUE(MID(A288,7,1))),ISNUMBER(SEARCH("km",A288)),ISNUMBER(SEARCH("of",A288))),"Distance-location","Named-region")</f>
        <v>Named-region</v>
      </c>
      <c r="V288" s="2" t="str">
        <f aca="false">LOWER(M288)</f>
        <v>mww</v>
      </c>
      <c r="W288" s="5" t="str">
        <f aca="false">IF(COUNTIFS($A$2:$A$1001,A288,$C$2:$C$1001,C288)&gt;1,"Duplicate","Unique")</f>
        <v>Unique</v>
      </c>
    </row>
    <row r="289" customFormat="false" ht="15" hidden="false" customHeight="false" outlineLevel="0" collapsed="false">
      <c r="A289" s="2" t="s">
        <v>831</v>
      </c>
      <c r="B289" s="3" t="n">
        <v>6.9</v>
      </c>
      <c r="C289" s="2" t="s">
        <v>832</v>
      </c>
      <c r="D289" s="2" t="n">
        <v>6</v>
      </c>
      <c r="E289" s="2" t="n">
        <v>6</v>
      </c>
      <c r="F289" s="2" t="s">
        <v>32</v>
      </c>
      <c r="G289" s="2" t="n">
        <v>0</v>
      </c>
      <c r="H289" s="2" t="n">
        <v>903</v>
      </c>
      <c r="I289" s="2" t="s">
        <v>26</v>
      </c>
      <c r="J289" s="2" t="n">
        <v>0</v>
      </c>
      <c r="K289" s="2" t="n">
        <v>3.001</v>
      </c>
      <c r="L289" s="2" t="n">
        <v>14</v>
      </c>
      <c r="M289" s="2" t="s">
        <v>27</v>
      </c>
      <c r="N289" s="3" t="n">
        <v>136</v>
      </c>
      <c r="O289" s="3" t="n">
        <v>23.0944</v>
      </c>
      <c r="P289" s="3" t="n">
        <v>94.8654</v>
      </c>
      <c r="Q289" s="3" t="s">
        <v>833</v>
      </c>
      <c r="R289" s="2" t="s">
        <v>84</v>
      </c>
      <c r="S289" s="2" t="s">
        <v>805</v>
      </c>
      <c r="T289" s="4" t="n">
        <f aca="false">DATE(VALUE(MID(C289,7,4)),VALUE(MID(C289,4,2)),VALUE(MID(C289,1,2)))+TIME(VALUE(MID(C289,12,2)),VALUE(MID(C289,15,2)),0)</f>
        <v>42473.5798611111</v>
      </c>
      <c r="U289" s="2" t="str">
        <f aca="false">IF(AND(ISNUMBER(VALUE(MID(A289,7,1))),ISNUMBER(SEARCH("km",A289)),ISNUMBER(SEARCH("of",A289))),"Distance-location","Named-region")</f>
        <v>Named-region</v>
      </c>
      <c r="V289" s="2" t="str">
        <f aca="false">LOWER(M289)</f>
        <v>mww</v>
      </c>
      <c r="W289" s="5" t="str">
        <f aca="false">IF(COUNTIFS($A$2:$A$1001,A289,$C$2:$C$1001,C289)&gt;1,"Duplicate","Unique")</f>
        <v>Unique</v>
      </c>
    </row>
    <row r="290" customFormat="false" ht="15" hidden="false" customHeight="false" outlineLevel="0" collapsed="false">
      <c r="A290" s="2" t="s">
        <v>834</v>
      </c>
      <c r="B290" s="3" t="n">
        <v>6.6</v>
      </c>
      <c r="C290" s="2" t="s">
        <v>835</v>
      </c>
      <c r="D290" s="2" t="n">
        <v>6</v>
      </c>
      <c r="E290" s="2" t="n">
        <v>4</v>
      </c>
      <c r="F290" s="2" t="s">
        <v>25</v>
      </c>
      <c r="G290" s="2" t="n">
        <v>0</v>
      </c>
      <c r="H290" s="2" t="n">
        <v>738</v>
      </c>
      <c r="I290" s="2" t="s">
        <v>26</v>
      </c>
      <c r="J290" s="2" t="n">
        <v>0</v>
      </c>
      <c r="K290" s="2" t="n">
        <v>0.789</v>
      </c>
      <c r="L290" s="2" t="n">
        <v>17</v>
      </c>
      <c r="M290" s="2" t="s">
        <v>27</v>
      </c>
      <c r="N290" s="3" t="n">
        <v>212</v>
      </c>
      <c r="O290" s="3" t="n">
        <v>36.4725</v>
      </c>
      <c r="P290" s="3" t="n">
        <v>71.1311</v>
      </c>
      <c r="Q290" s="3" t="s">
        <v>836</v>
      </c>
      <c r="R290" s="2" t="s">
        <v>84</v>
      </c>
      <c r="S290" s="2" t="s">
        <v>96</v>
      </c>
      <c r="T290" s="4" t="n">
        <f aca="false">DATE(VALUE(MID(C290,7,4)),VALUE(MID(C290,4,2)),VALUE(MID(C290,1,2)))+TIME(VALUE(MID(C290,12,2)),VALUE(MID(C290,15,2)),0)</f>
        <v>42470.4361111111</v>
      </c>
      <c r="U290" s="2" t="str">
        <f aca="false">IF(AND(ISNUMBER(VALUE(MID(A290,7,1))),ISNUMBER(SEARCH("km",A290)),ISNUMBER(SEARCH("of",A290))),"Distance-location","Named-region")</f>
        <v>Named-region</v>
      </c>
      <c r="V290" s="2" t="str">
        <f aca="false">LOWER(M290)</f>
        <v>mww</v>
      </c>
      <c r="W290" s="5" t="str">
        <f aca="false">IF(COUNTIFS($A$2:$A$1001,A290,$C$2:$C$1001,C290)&gt;1,"Duplicate","Unique")</f>
        <v>Unique</v>
      </c>
    </row>
    <row r="291" customFormat="false" ht="15" hidden="false" customHeight="false" outlineLevel="0" collapsed="false">
      <c r="A291" s="2" t="s">
        <v>837</v>
      </c>
      <c r="B291" s="3" t="n">
        <v>6.7</v>
      </c>
      <c r="C291" s="2" t="s">
        <v>838</v>
      </c>
      <c r="D291" s="2" t="n">
        <v>7</v>
      </c>
      <c r="E291" s="2" t="n">
        <v>5</v>
      </c>
      <c r="F291" s="2" t="s">
        <v>25</v>
      </c>
      <c r="G291" s="2" t="n">
        <v>1</v>
      </c>
      <c r="H291" s="2" t="n">
        <v>692</v>
      </c>
      <c r="I291" s="2" t="s">
        <v>26</v>
      </c>
      <c r="J291" s="2" t="n">
        <v>0</v>
      </c>
      <c r="K291" s="2" t="n">
        <v>6.787</v>
      </c>
      <c r="L291" s="2" t="n">
        <v>25</v>
      </c>
      <c r="M291" s="2" t="s">
        <v>27</v>
      </c>
      <c r="N291" s="3" t="n">
        <v>27.59</v>
      </c>
      <c r="O291" s="3" t="n">
        <v>-13.9805</v>
      </c>
      <c r="P291" s="3" t="n">
        <v>166.594</v>
      </c>
      <c r="Q291" s="3" t="s">
        <v>28</v>
      </c>
      <c r="R291" s="2"/>
      <c r="S291" s="2" t="s">
        <v>29</v>
      </c>
      <c r="T291" s="4" t="n">
        <f aca="false">DATE(VALUE(MID(C291,7,4)),VALUE(MID(C291,4,2)),VALUE(MID(C291,1,2)))+TIME(VALUE(MID(C291,12,2)),VALUE(MID(C291,15,2)),0)</f>
        <v>42467.1472222222</v>
      </c>
      <c r="U291" s="2" t="str">
        <f aca="false">IF(AND(ISNUMBER(VALUE(MID(A291,7,1))),ISNUMBER(SEARCH("km",A291)),ISNUMBER(SEARCH("of",A291))),"Distance-location","Named-region")</f>
        <v>Named-region</v>
      </c>
      <c r="V291" s="2" t="str">
        <f aca="false">LOWER(M291)</f>
        <v>mww</v>
      </c>
      <c r="W291" s="5" t="str">
        <f aca="false">IF(COUNTIFS($A$2:$A$1001,A291,$C$2:$C$1001,C291)&gt;1,"Duplicate","Unique")</f>
        <v>Unique</v>
      </c>
    </row>
    <row r="292" customFormat="false" ht="15" hidden="false" customHeight="false" outlineLevel="0" collapsed="false">
      <c r="A292" s="2" t="s">
        <v>839</v>
      </c>
      <c r="B292" s="3" t="n">
        <v>6.7</v>
      </c>
      <c r="C292" s="2" t="s">
        <v>840</v>
      </c>
      <c r="D292" s="2" t="n">
        <v>7</v>
      </c>
      <c r="E292" s="2" t="n">
        <v>6</v>
      </c>
      <c r="F292" s="2" t="s">
        <v>25</v>
      </c>
      <c r="G292" s="2" t="n">
        <v>1</v>
      </c>
      <c r="H292" s="2" t="n">
        <v>691</v>
      </c>
      <c r="I292" s="2" t="s">
        <v>26</v>
      </c>
      <c r="J292" s="2" t="n">
        <v>0</v>
      </c>
      <c r="K292" s="2" t="n">
        <v>6.697</v>
      </c>
      <c r="L292" s="2" t="n">
        <v>19</v>
      </c>
      <c r="M292" s="2" t="s">
        <v>27</v>
      </c>
      <c r="N292" s="3" t="n">
        <v>24</v>
      </c>
      <c r="O292" s="3" t="n">
        <v>-14.0683</v>
      </c>
      <c r="P292" s="3" t="n">
        <v>166.624</v>
      </c>
      <c r="Q292" s="3" t="s">
        <v>28</v>
      </c>
      <c r="R292" s="2"/>
      <c r="S292" s="2" t="s">
        <v>29</v>
      </c>
      <c r="T292" s="4" t="n">
        <f aca="false">DATE(VALUE(MID(C292,7,4)),VALUE(MID(C292,4,2)),VALUE(MID(C292,1,2)))+TIME(VALUE(MID(C292,12,2)),VALUE(MID(C292,15,2)),0)</f>
        <v>42466.2902777778</v>
      </c>
      <c r="U292" s="2" t="str">
        <f aca="false">IF(AND(ISNUMBER(VALUE(MID(A292,7,1))),ISNUMBER(SEARCH("km",A292)),ISNUMBER(SEARCH("of",A292))),"Distance-location","Named-region")</f>
        <v>Named-region</v>
      </c>
      <c r="V292" s="2" t="str">
        <f aca="false">LOWER(M292)</f>
        <v>mww</v>
      </c>
      <c r="W292" s="5" t="str">
        <f aca="false">IF(COUNTIFS($A$2:$A$1001,A292,$C$2:$C$1001,C292)&gt;1,"Duplicate","Unique")</f>
        <v>Unique</v>
      </c>
    </row>
    <row r="293" customFormat="false" ht="15" hidden="false" customHeight="false" outlineLevel="0" collapsed="false">
      <c r="A293" s="2" t="s">
        <v>841</v>
      </c>
      <c r="B293" s="3" t="n">
        <v>6.9</v>
      </c>
      <c r="C293" s="2" t="s">
        <v>842</v>
      </c>
      <c r="D293" s="2" t="n">
        <v>7</v>
      </c>
      <c r="E293" s="2" t="n">
        <v>6</v>
      </c>
      <c r="F293" s="2" t="s">
        <v>25</v>
      </c>
      <c r="G293" s="2" t="n">
        <v>1</v>
      </c>
      <c r="H293" s="2" t="n">
        <v>734</v>
      </c>
      <c r="I293" s="2" t="s">
        <v>26</v>
      </c>
      <c r="J293" s="2" t="n">
        <v>0</v>
      </c>
      <c r="K293" s="2" t="n">
        <v>1.166</v>
      </c>
      <c r="L293" s="2" t="n">
        <v>25</v>
      </c>
      <c r="M293" s="2" t="s">
        <v>27</v>
      </c>
      <c r="N293" s="3" t="n">
        <v>26</v>
      </c>
      <c r="O293" s="3" t="n">
        <v>-14.3235</v>
      </c>
      <c r="P293" s="3" t="n">
        <v>166.855</v>
      </c>
      <c r="Q293" s="3" t="s">
        <v>108</v>
      </c>
      <c r="R293" s="2"/>
      <c r="S293" s="2" t="s">
        <v>29</v>
      </c>
      <c r="T293" s="4" t="n">
        <f aca="false">DATE(VALUE(MID(C293,7,4)),VALUE(MID(C293,4,2)),VALUE(MID(C293,1,2)))+TIME(VALUE(MID(C293,12,2)),VALUE(MID(C293,15,2)),0)</f>
        <v>42463.3493055556</v>
      </c>
      <c r="U293" s="2" t="str">
        <f aca="false">IF(AND(ISNUMBER(VALUE(MID(A293,7,1))),ISNUMBER(SEARCH("km",A293)),ISNUMBER(SEARCH("of",A293))),"Distance-location","Named-region")</f>
        <v>Named-region</v>
      </c>
      <c r="V293" s="2" t="str">
        <f aca="false">LOWER(M293)</f>
        <v>mww</v>
      </c>
      <c r="W293" s="5" t="str">
        <f aca="false">IF(COUNTIFS($A$2:$A$1001,A293,$C$2:$C$1001,C293)&gt;1,"Duplicate","Unique")</f>
        <v>Unique</v>
      </c>
    </row>
    <row r="294" customFormat="false" ht="15" hidden="false" customHeight="false" outlineLevel="0" collapsed="false">
      <c r="A294" s="2" t="s">
        <v>843</v>
      </c>
      <c r="B294" s="3" t="n">
        <v>7.8</v>
      </c>
      <c r="C294" s="2" t="s">
        <v>844</v>
      </c>
      <c r="D294" s="2" t="n">
        <v>4</v>
      </c>
      <c r="E294" s="2" t="n">
        <v>3</v>
      </c>
      <c r="F294" s="2" t="s">
        <v>25</v>
      </c>
      <c r="G294" s="2" t="n">
        <v>0</v>
      </c>
      <c r="H294" s="2" t="n">
        <v>948</v>
      </c>
      <c r="I294" s="2" t="s">
        <v>26</v>
      </c>
      <c r="J294" s="2" t="n">
        <v>0</v>
      </c>
      <c r="K294" s="2" t="n">
        <v>7.009</v>
      </c>
      <c r="L294" s="2" t="n">
        <v>20</v>
      </c>
      <c r="M294" s="2" t="s">
        <v>27</v>
      </c>
      <c r="N294" s="3" t="n">
        <v>24</v>
      </c>
      <c r="O294" s="3" t="n">
        <v>-4.9521</v>
      </c>
      <c r="P294" s="3" t="n">
        <v>94.3299</v>
      </c>
      <c r="Q294" s="3" t="s">
        <v>845</v>
      </c>
      <c r="R294" s="2"/>
      <c r="S294" s="2"/>
      <c r="T294" s="4" t="n">
        <f aca="false">DATE(VALUE(MID(C294,7,4)),VALUE(MID(C294,4,2)),VALUE(MID(C294,1,2)))+TIME(VALUE(MID(C294,12,2)),VALUE(MID(C294,15,2)),0)</f>
        <v>42431.5340277778</v>
      </c>
      <c r="U294" s="2" t="str">
        <f aca="false">IF(AND(ISNUMBER(VALUE(MID(A294,7,1))),ISNUMBER(SEARCH("km",A294)),ISNUMBER(SEARCH("of",A294))),"Distance-location","Named-region")</f>
        <v>Named-region</v>
      </c>
      <c r="V294" s="2" t="str">
        <f aca="false">LOWER(M294)</f>
        <v>mww</v>
      </c>
      <c r="W294" s="5" t="str">
        <f aca="false">IF(COUNTIFS($A$2:$A$1001,A294,$C$2:$C$1001,C294)&gt;1,"Duplicate","Unique")</f>
        <v>Unique</v>
      </c>
    </row>
    <row r="295" customFormat="false" ht="15" hidden="false" customHeight="false" outlineLevel="0" collapsed="false">
      <c r="A295" s="2" t="s">
        <v>846</v>
      </c>
      <c r="B295" s="3" t="n">
        <v>7.2</v>
      </c>
      <c r="C295" s="2" t="s">
        <v>847</v>
      </c>
      <c r="D295" s="2" t="n">
        <v>3</v>
      </c>
      <c r="E295" s="2" t="n">
        <v>7</v>
      </c>
      <c r="F295" s="2" t="s">
        <v>25</v>
      </c>
      <c r="G295" s="2" t="n">
        <v>1</v>
      </c>
      <c r="H295" s="2" t="n">
        <v>799</v>
      </c>
      <c r="I295" s="2" t="s">
        <v>26</v>
      </c>
      <c r="J295" s="2" t="n">
        <v>0</v>
      </c>
      <c r="K295" s="2" t="n">
        <v>0.958</v>
      </c>
      <c r="L295" s="2" t="n">
        <v>17</v>
      </c>
      <c r="M295" s="2" t="s">
        <v>27</v>
      </c>
      <c r="N295" s="3" t="n">
        <v>177</v>
      </c>
      <c r="O295" s="3" t="n">
        <v>53.9776</v>
      </c>
      <c r="P295" s="3" t="n">
        <v>158.546</v>
      </c>
      <c r="Q295" s="3" t="s">
        <v>848</v>
      </c>
      <c r="R295" s="2" t="s">
        <v>84</v>
      </c>
      <c r="S295" s="2" t="s">
        <v>432</v>
      </c>
      <c r="T295" s="4" t="n">
        <f aca="false">DATE(VALUE(MID(C295,7,4)),VALUE(MID(C295,4,2)),VALUE(MID(C295,1,2)))+TIME(VALUE(MID(C295,12,2)),VALUE(MID(C295,15,2)),0)</f>
        <v>42399.1423611111</v>
      </c>
      <c r="U295" s="2" t="str">
        <f aca="false">IF(AND(ISNUMBER(VALUE(MID(A295,7,1))),ISNUMBER(SEARCH("km",A295)),ISNUMBER(SEARCH("of",A295))),"Distance-location","Named-region")</f>
        <v>Named-region</v>
      </c>
      <c r="V295" s="2" t="str">
        <f aca="false">LOWER(M295)</f>
        <v>mww</v>
      </c>
      <c r="W295" s="5" t="str">
        <f aca="false">IF(COUNTIFS($A$2:$A$1001,A295,$C$2:$C$1001,C295)&gt;1,"Duplicate","Unique")</f>
        <v>Unique</v>
      </c>
    </row>
    <row r="296" customFormat="false" ht="15" hidden="false" customHeight="false" outlineLevel="0" collapsed="false">
      <c r="A296" s="2" t="s">
        <v>849</v>
      </c>
      <c r="B296" s="3" t="n">
        <v>7.1</v>
      </c>
      <c r="C296" s="2" t="s">
        <v>850</v>
      </c>
      <c r="D296" s="2" t="n">
        <v>7</v>
      </c>
      <c r="E296" s="2" t="n">
        <v>7</v>
      </c>
      <c r="F296" s="2" t="s">
        <v>25</v>
      </c>
      <c r="G296" s="2" t="n">
        <v>1</v>
      </c>
      <c r="H296" s="2" t="n">
        <v>1496</v>
      </c>
      <c r="I296" s="2" t="s">
        <v>263</v>
      </c>
      <c r="J296" s="2" t="n">
        <v>0</v>
      </c>
      <c r="K296" s="2" t="n">
        <v>0</v>
      </c>
      <c r="L296" s="2" t="n">
        <v>0</v>
      </c>
      <c r="M296" s="2" t="s">
        <v>489</v>
      </c>
      <c r="N296" s="3" t="n">
        <v>125.6</v>
      </c>
      <c r="O296" s="3" t="n">
        <v>59.6204</v>
      </c>
      <c r="P296" s="3" t="n">
        <v>-153.339</v>
      </c>
      <c r="Q296" s="3" t="s">
        <v>851</v>
      </c>
      <c r="R296" s="2" t="s">
        <v>168</v>
      </c>
      <c r="S296" s="2" t="s">
        <v>265</v>
      </c>
      <c r="T296" s="4" t="n">
        <f aca="false">DATE(VALUE(MID(C296,7,4)),VALUE(MID(C296,4,2)),VALUE(MID(C296,1,2)))+TIME(VALUE(MID(C296,12,2)),VALUE(MID(C296,15,2)),0)</f>
        <v>42393.4375</v>
      </c>
      <c r="U296" s="2" t="str">
        <f aca="false">IF(AND(ISNUMBER(VALUE(MID(A296,7,1))),ISNUMBER(SEARCH("km",A296)),ISNUMBER(SEARCH("of",A296))),"Distance-location","Named-region")</f>
        <v>Named-region</v>
      </c>
      <c r="V296" s="2" t="str">
        <f aca="false">LOWER(M296)</f>
        <v>mw</v>
      </c>
      <c r="W296" s="5" t="str">
        <f aca="false">IF(COUNTIFS($A$2:$A$1001,A296,$C$2:$C$1001,C296)&gt;1,"Duplicate","Unique")</f>
        <v>Unique</v>
      </c>
    </row>
    <row r="297" customFormat="false" ht="15" hidden="false" customHeight="false" outlineLevel="0" collapsed="false">
      <c r="A297" s="2" t="s">
        <v>852</v>
      </c>
      <c r="B297" s="3" t="n">
        <v>6.6</v>
      </c>
      <c r="C297" s="2" t="s">
        <v>853</v>
      </c>
      <c r="D297" s="2" t="n">
        <v>3</v>
      </c>
      <c r="E297" s="2" t="n">
        <v>4</v>
      </c>
      <c r="F297" s="2" t="s">
        <v>25</v>
      </c>
      <c r="G297" s="2" t="n">
        <v>1</v>
      </c>
      <c r="H297" s="2" t="n">
        <v>673</v>
      </c>
      <c r="I297" s="2" t="s">
        <v>26</v>
      </c>
      <c r="J297" s="2" t="n">
        <v>0</v>
      </c>
      <c r="K297" s="2" t="n">
        <v>2.413</v>
      </c>
      <c r="L297" s="2" t="n">
        <v>74</v>
      </c>
      <c r="M297" s="2" t="s">
        <v>27</v>
      </c>
      <c r="N297" s="3" t="n">
        <v>10</v>
      </c>
      <c r="O297" s="3" t="n">
        <v>18.8239</v>
      </c>
      <c r="P297" s="3" t="n">
        <v>-106.934</v>
      </c>
      <c r="Q297" s="3" t="s">
        <v>854</v>
      </c>
      <c r="R297" s="2"/>
      <c r="S297" s="2"/>
      <c r="T297" s="4" t="n">
        <f aca="false">DATE(VALUE(MID(C297,7,4)),VALUE(MID(C297,4,2)),VALUE(MID(C297,1,2)))+TIME(VALUE(MID(C297,12,2)),VALUE(MID(C297,15,2)),0)</f>
        <v>42390.7541666667</v>
      </c>
      <c r="U297" s="2" t="str">
        <f aca="false">IF(AND(ISNUMBER(VALUE(MID(A297,7,1))),ISNUMBER(SEARCH("km",A297)),ISNUMBER(SEARCH("of",A297))),"Distance-location","Named-region")</f>
        <v>Named-region</v>
      </c>
      <c r="V297" s="2" t="str">
        <f aca="false">LOWER(M297)</f>
        <v>mww</v>
      </c>
      <c r="W297" s="5" t="str">
        <f aca="false">IF(COUNTIFS($A$2:$A$1001,A297,$C$2:$C$1001,C297)&gt;1,"Duplicate","Unique")</f>
        <v>Unique</v>
      </c>
    </row>
    <row r="298" customFormat="false" ht="15" hidden="false" customHeight="false" outlineLevel="0" collapsed="false">
      <c r="A298" s="2" t="s">
        <v>855</v>
      </c>
      <c r="B298" s="3" t="n">
        <v>6.7</v>
      </c>
      <c r="C298" s="2" t="s">
        <v>856</v>
      </c>
      <c r="D298" s="2" t="n">
        <v>5</v>
      </c>
      <c r="E298" s="2" t="n">
        <v>6</v>
      </c>
      <c r="F298" s="2" t="s">
        <v>25</v>
      </c>
      <c r="G298" s="2" t="n">
        <v>1</v>
      </c>
      <c r="H298" s="2" t="n">
        <v>717</v>
      </c>
      <c r="I298" s="2" t="s">
        <v>26</v>
      </c>
      <c r="J298" s="2" t="n">
        <v>0</v>
      </c>
      <c r="K298" s="2" t="n">
        <v>0.281</v>
      </c>
      <c r="L298" s="2" t="n">
        <v>22</v>
      </c>
      <c r="M298" s="2" t="s">
        <v>27</v>
      </c>
      <c r="N298" s="3" t="n">
        <v>46</v>
      </c>
      <c r="O298" s="3" t="n">
        <v>41.9723</v>
      </c>
      <c r="P298" s="3" t="n">
        <v>142.781</v>
      </c>
      <c r="Q298" s="3" t="s">
        <v>857</v>
      </c>
      <c r="R298" s="2" t="s">
        <v>84</v>
      </c>
      <c r="S298" s="2" t="s">
        <v>326</v>
      </c>
      <c r="T298" s="4" t="n">
        <f aca="false">DATE(VALUE(MID(C298,7,4)),VALUE(MID(C298,4,2)),VALUE(MID(C298,1,2)))+TIME(VALUE(MID(C298,12,2)),VALUE(MID(C298,15,2)),0)</f>
        <v>42383.1423611111</v>
      </c>
      <c r="U298" s="2" t="str">
        <f aca="false">IF(AND(ISNUMBER(VALUE(MID(A298,7,1))),ISNUMBER(SEARCH("km",A298)),ISNUMBER(SEARCH("of",A298))),"Distance-location","Named-region")</f>
        <v>Named-region</v>
      </c>
      <c r="V298" s="2" t="str">
        <f aca="false">LOWER(M298)</f>
        <v>mww</v>
      </c>
      <c r="W298" s="5" t="str">
        <f aca="false">IF(COUNTIFS($A$2:$A$1001,A298,$C$2:$C$1001,C298)&gt;1,"Duplicate","Unique")</f>
        <v>Unique</v>
      </c>
    </row>
    <row r="299" customFormat="false" ht="15" hidden="false" customHeight="false" outlineLevel="0" collapsed="false">
      <c r="A299" s="2" t="s">
        <v>858</v>
      </c>
      <c r="B299" s="3" t="n">
        <v>6.5</v>
      </c>
      <c r="C299" s="2" t="s">
        <v>859</v>
      </c>
      <c r="D299" s="2" t="n">
        <v>3</v>
      </c>
      <c r="E299" s="2" t="n">
        <v>6</v>
      </c>
      <c r="F299" s="2" t="s">
        <v>25</v>
      </c>
      <c r="G299" s="2" t="n">
        <v>1</v>
      </c>
      <c r="H299" s="2" t="n">
        <v>651</v>
      </c>
      <c r="I299" s="2" t="s">
        <v>26</v>
      </c>
      <c r="J299" s="2" t="n">
        <v>0</v>
      </c>
      <c r="K299" s="2" t="n">
        <v>3.144</v>
      </c>
      <c r="L299" s="2" t="n">
        <v>22</v>
      </c>
      <c r="M299" s="2" t="s">
        <v>27</v>
      </c>
      <c r="N299" s="3" t="n">
        <v>13</v>
      </c>
      <c r="O299" s="3" t="n">
        <v>3.8965</v>
      </c>
      <c r="P299" s="3" t="n">
        <v>126.862</v>
      </c>
      <c r="Q299" s="3" t="s">
        <v>860</v>
      </c>
      <c r="R299" s="2"/>
      <c r="S299" s="2" t="s">
        <v>72</v>
      </c>
      <c r="T299" s="4" t="n">
        <f aca="false">DATE(VALUE(MID(C299,7,4)),VALUE(MID(C299,4,2)),VALUE(MID(C299,1,2)))+TIME(VALUE(MID(C299,12,2)),VALUE(MID(C299,15,2)),0)</f>
        <v>42380.6930555556</v>
      </c>
      <c r="U299" s="2" t="str">
        <f aca="false">IF(AND(ISNUMBER(VALUE(MID(A299,7,1))),ISNUMBER(SEARCH("km",A299)),ISNUMBER(SEARCH("of",A299))),"Distance-location","Named-region")</f>
        <v>Named-region</v>
      </c>
      <c r="V299" s="2" t="str">
        <f aca="false">LOWER(M299)</f>
        <v>mww</v>
      </c>
      <c r="W299" s="5" t="str">
        <f aca="false">IF(COUNTIFS($A$2:$A$1001,A299,$C$2:$C$1001,C299)&gt;1,"Duplicate","Unique")</f>
        <v>Unique</v>
      </c>
    </row>
    <row r="300" customFormat="false" ht="15" hidden="false" customHeight="false" outlineLevel="0" collapsed="false">
      <c r="A300" s="2" t="s">
        <v>861</v>
      </c>
      <c r="B300" s="3" t="n">
        <v>6.7</v>
      </c>
      <c r="C300" s="2" t="s">
        <v>862</v>
      </c>
      <c r="D300" s="2" t="n">
        <v>8</v>
      </c>
      <c r="E300" s="2" t="n">
        <v>7</v>
      </c>
      <c r="F300" s="2" t="s">
        <v>99</v>
      </c>
      <c r="G300" s="2" t="n">
        <v>0</v>
      </c>
      <c r="H300" s="2" t="n">
        <v>1515</v>
      </c>
      <c r="I300" s="2" t="s">
        <v>26</v>
      </c>
      <c r="J300" s="2" t="n">
        <v>0</v>
      </c>
      <c r="K300" s="2" t="n">
        <v>1.794</v>
      </c>
      <c r="L300" s="2" t="n">
        <v>16</v>
      </c>
      <c r="M300" s="2" t="s">
        <v>27</v>
      </c>
      <c r="N300" s="3" t="n">
        <v>55</v>
      </c>
      <c r="O300" s="3" t="n">
        <v>24.8036</v>
      </c>
      <c r="P300" s="3" t="n">
        <v>93.6505</v>
      </c>
      <c r="Q300" s="3" t="s">
        <v>863</v>
      </c>
      <c r="R300" s="2" t="s">
        <v>84</v>
      </c>
      <c r="S300" s="2" t="s">
        <v>864</v>
      </c>
      <c r="T300" s="4" t="n">
        <f aca="false">DATE(VALUE(MID(C300,7,4)),VALUE(MID(C300,4,2)),VALUE(MID(C300,1,2)))+TIME(VALUE(MID(C300,12,2)),VALUE(MID(C300,15,2)),0)</f>
        <v>42372.9618055556</v>
      </c>
      <c r="U300" s="2" t="str">
        <f aca="false">IF(AND(ISNUMBER(VALUE(MID(A300,7,1))),ISNUMBER(SEARCH("km",A300)),ISNUMBER(SEARCH("of",A300))),"Distance-location","Named-region")</f>
        <v>Named-region</v>
      </c>
      <c r="V300" s="2" t="str">
        <f aca="false">LOWER(M300)</f>
        <v>mww</v>
      </c>
      <c r="W300" s="5" t="str">
        <f aca="false">IF(COUNTIFS($A$2:$A$1001,A300,$C$2:$C$1001,C300)&gt;1,"Duplicate","Unique")</f>
        <v>Unique</v>
      </c>
    </row>
    <row r="301" customFormat="false" ht="28.35" hidden="false" customHeight="false" outlineLevel="0" collapsed="false">
      <c r="A301" s="2" t="s">
        <v>865</v>
      </c>
      <c r="B301" s="3" t="n">
        <v>6.6</v>
      </c>
      <c r="C301" s="2" t="s">
        <v>866</v>
      </c>
      <c r="D301" s="2" t="n">
        <v>8</v>
      </c>
      <c r="E301" s="2" t="n">
        <v>6</v>
      </c>
      <c r="F301" s="2" t="s">
        <v>25</v>
      </c>
      <c r="G301" s="2" t="n">
        <v>1</v>
      </c>
      <c r="H301" s="2" t="n">
        <v>765</v>
      </c>
      <c r="I301" s="2" t="s">
        <v>26</v>
      </c>
      <c r="J301" s="2" t="n">
        <v>0</v>
      </c>
      <c r="K301" s="2" t="n">
        <v>0.41</v>
      </c>
      <c r="L301" s="2" t="n">
        <v>35</v>
      </c>
      <c r="M301" s="2" t="s">
        <v>27</v>
      </c>
      <c r="N301" s="3" t="n">
        <v>85</v>
      </c>
      <c r="O301" s="3" t="n">
        <v>15.8015</v>
      </c>
      <c r="P301" s="3" t="n">
        <v>-93.633</v>
      </c>
      <c r="Q301" s="3" t="s">
        <v>867</v>
      </c>
      <c r="R301" s="2"/>
      <c r="S301" s="2" t="s">
        <v>169</v>
      </c>
      <c r="T301" s="4" t="n">
        <f aca="false">DATE(VALUE(MID(C301,7,4)),VALUE(MID(C301,4,2)),VALUE(MID(C301,1,2)))+TIME(VALUE(MID(C301,12,2)),VALUE(MID(C301,15,2)),0)</f>
        <v>42355.8256944444</v>
      </c>
      <c r="U301" s="2" t="str">
        <f aca="false">IF(AND(ISNUMBER(VALUE(MID(A301,7,1))),ISNUMBER(SEARCH("km",A301)),ISNUMBER(SEARCH("of",A301))),"Distance-location","Named-region")</f>
        <v>Named-region</v>
      </c>
      <c r="V301" s="2" t="str">
        <f aca="false">LOWER(M301)</f>
        <v>mww</v>
      </c>
      <c r="W301" s="5" t="str">
        <f aca="false">IF(COUNTIFS($A$2:$A$1001,A301,$C$2:$C$1001,C301)&gt;1,"Duplicate","Unique")</f>
        <v>Unique</v>
      </c>
    </row>
    <row r="302" customFormat="false" ht="15" hidden="false" customHeight="false" outlineLevel="0" collapsed="false">
      <c r="A302" s="2" t="s">
        <v>868</v>
      </c>
      <c r="B302" s="3" t="n">
        <v>6.9</v>
      </c>
      <c r="C302" s="2" t="s">
        <v>869</v>
      </c>
      <c r="D302" s="2" t="n">
        <v>8</v>
      </c>
      <c r="E302" s="2" t="n">
        <v>5</v>
      </c>
      <c r="F302" s="2" t="s">
        <v>25</v>
      </c>
      <c r="G302" s="2" t="n">
        <v>0</v>
      </c>
      <c r="H302" s="2" t="n">
        <v>738</v>
      </c>
      <c r="I302" s="2" t="s">
        <v>26</v>
      </c>
      <c r="J302" s="2" t="n">
        <v>0</v>
      </c>
      <c r="K302" s="2" t="n">
        <v>2.979</v>
      </c>
      <c r="L302" s="2" t="n">
        <v>14</v>
      </c>
      <c r="M302" s="2" t="s">
        <v>27</v>
      </c>
      <c r="N302" s="3" t="n">
        <v>21</v>
      </c>
      <c r="O302" s="3" t="n">
        <v>-4.1064</v>
      </c>
      <c r="P302" s="3" t="n">
        <v>129.508</v>
      </c>
      <c r="Q302" s="3" t="s">
        <v>870</v>
      </c>
      <c r="R302" s="2"/>
      <c r="S302" s="2" t="s">
        <v>72</v>
      </c>
      <c r="T302" s="4" t="n">
        <f aca="false">DATE(VALUE(MID(C302,7,4)),VALUE(MID(C302,4,2)),VALUE(MID(C302,1,2)))+TIME(VALUE(MID(C302,12,2)),VALUE(MID(C302,15,2)),0)</f>
        <v>42347.43125</v>
      </c>
      <c r="U302" s="2" t="str">
        <f aca="false">IF(AND(ISNUMBER(VALUE(MID(A302,7,1))),ISNUMBER(SEARCH("km",A302)),ISNUMBER(SEARCH("of",A302))),"Distance-location","Named-region")</f>
        <v>Named-region</v>
      </c>
      <c r="V302" s="2" t="str">
        <f aca="false">LOWER(M302)</f>
        <v>mww</v>
      </c>
      <c r="W302" s="5" t="str">
        <f aca="false">IF(COUNTIFS($A$2:$A$1001,A302,$C$2:$C$1001,C302)&gt;1,"Duplicate","Unique")</f>
        <v>Unique</v>
      </c>
    </row>
    <row r="303" customFormat="false" ht="15" hidden="false" customHeight="false" outlineLevel="0" collapsed="false">
      <c r="A303" s="2" t="s">
        <v>871</v>
      </c>
      <c r="B303" s="3" t="n">
        <v>7.2</v>
      </c>
      <c r="C303" s="2" t="s">
        <v>872</v>
      </c>
      <c r="D303" s="2" t="n">
        <v>4</v>
      </c>
      <c r="E303" s="2" t="n">
        <v>7</v>
      </c>
      <c r="F303" s="2" t="s">
        <v>25</v>
      </c>
      <c r="G303" s="2" t="n">
        <v>0</v>
      </c>
      <c r="H303" s="2" t="n">
        <v>827</v>
      </c>
      <c r="I303" s="2" t="s">
        <v>26</v>
      </c>
      <c r="J303" s="2" t="n">
        <v>0</v>
      </c>
      <c r="K303" s="2" t="n">
        <v>1.116</v>
      </c>
      <c r="L303" s="2" t="n">
        <v>18</v>
      </c>
      <c r="M303" s="2" t="s">
        <v>27</v>
      </c>
      <c r="N303" s="3" t="n">
        <v>22</v>
      </c>
      <c r="O303" s="3" t="n">
        <v>38.2107</v>
      </c>
      <c r="P303" s="3" t="n">
        <v>72.7797</v>
      </c>
      <c r="Q303" s="3" t="s">
        <v>114</v>
      </c>
      <c r="R303" s="2" t="s">
        <v>84</v>
      </c>
      <c r="S303" s="2" t="s">
        <v>115</v>
      </c>
      <c r="T303" s="4" t="n">
        <f aca="false">DATE(VALUE(MID(C303,7,4)),VALUE(MID(C303,4,2)),VALUE(MID(C303,1,2)))+TIME(VALUE(MID(C303,12,2)),VALUE(MID(C303,15,2)),0)</f>
        <v>42345.3263888889</v>
      </c>
      <c r="U303" s="2" t="str">
        <f aca="false">IF(AND(ISNUMBER(VALUE(MID(A303,7,1))),ISNUMBER(SEARCH("km",A303)),ISNUMBER(SEARCH("of",A303))),"Distance-location","Named-region")</f>
        <v>Named-region</v>
      </c>
      <c r="V303" s="2" t="str">
        <f aca="false">LOWER(M303)</f>
        <v>mww</v>
      </c>
      <c r="W303" s="5" t="str">
        <f aca="false">IF(COUNTIFS($A$2:$A$1001,A303,$C$2:$C$1001,C303)&gt;1,"Duplicate","Unique")</f>
        <v>Unique</v>
      </c>
    </row>
    <row r="304" customFormat="false" ht="15" hidden="false" customHeight="false" outlineLevel="0" collapsed="false">
      <c r="A304" s="2" t="s">
        <v>873</v>
      </c>
      <c r="B304" s="3" t="n">
        <v>6.7</v>
      </c>
      <c r="C304" s="2" t="s">
        <v>874</v>
      </c>
      <c r="D304" s="2" t="n">
        <v>2</v>
      </c>
      <c r="E304" s="2" t="n">
        <v>3</v>
      </c>
      <c r="F304" s="2" t="s">
        <v>25</v>
      </c>
      <c r="G304" s="2" t="n">
        <v>0</v>
      </c>
      <c r="H304" s="2" t="n">
        <v>691</v>
      </c>
      <c r="I304" s="2" t="s">
        <v>26</v>
      </c>
      <c r="J304" s="2" t="n">
        <v>0</v>
      </c>
      <c r="K304" s="2" t="n">
        <v>2.033</v>
      </c>
      <c r="L304" s="2" t="n">
        <v>19</v>
      </c>
      <c r="M304" s="2" t="s">
        <v>27</v>
      </c>
      <c r="N304" s="3" t="n">
        <v>602.75</v>
      </c>
      <c r="O304" s="3" t="n">
        <v>-9.1825</v>
      </c>
      <c r="P304" s="3" t="n">
        <v>-71.2574</v>
      </c>
      <c r="Q304" s="3" t="s">
        <v>198</v>
      </c>
      <c r="R304" s="2" t="s">
        <v>37</v>
      </c>
      <c r="S304" s="2" t="s">
        <v>199</v>
      </c>
      <c r="T304" s="4" t="n">
        <f aca="false">DATE(VALUE(MID(C304,7,4)),VALUE(MID(C304,4,2)),VALUE(MID(C304,1,2)))+TIME(VALUE(MID(C304,12,2)),VALUE(MID(C304,15,2)),0)</f>
        <v>42334.2395833333</v>
      </c>
      <c r="U304" s="2" t="str">
        <f aca="false">IF(AND(ISNUMBER(VALUE(MID(A304,7,1))),ISNUMBER(SEARCH("km",A304)),ISNUMBER(SEARCH("of",A304))),"Distance-location","Named-region")</f>
        <v>Named-region</v>
      </c>
      <c r="V304" s="2" t="str">
        <f aca="false">LOWER(M304)</f>
        <v>mww</v>
      </c>
      <c r="W304" s="5" t="str">
        <f aca="false">IF(COUNTIFS($A$2:$A$1001,A304,$C$2:$C$1001,C304)&gt;1,"Duplicate","Unique")</f>
        <v>Unique</v>
      </c>
    </row>
    <row r="305" customFormat="false" ht="15" hidden="false" customHeight="false" outlineLevel="0" collapsed="false">
      <c r="A305" s="2" t="s">
        <v>875</v>
      </c>
      <c r="B305" s="3" t="n">
        <v>7.6</v>
      </c>
      <c r="C305" s="2" t="s">
        <v>876</v>
      </c>
      <c r="D305" s="2" t="n">
        <v>5</v>
      </c>
      <c r="E305" s="2" t="n">
        <v>4</v>
      </c>
      <c r="F305" s="2" t="s">
        <v>25</v>
      </c>
      <c r="G305" s="2" t="n">
        <v>0</v>
      </c>
      <c r="H305" s="2" t="n">
        <v>896</v>
      </c>
      <c r="I305" s="2" t="s">
        <v>26</v>
      </c>
      <c r="J305" s="2" t="n">
        <v>0</v>
      </c>
      <c r="K305" s="2" t="n">
        <v>2.852</v>
      </c>
      <c r="L305" s="2" t="n">
        <v>10</v>
      </c>
      <c r="M305" s="2" t="s">
        <v>27</v>
      </c>
      <c r="N305" s="3" t="n">
        <v>620.56</v>
      </c>
      <c r="O305" s="3" t="n">
        <v>-10.0598</v>
      </c>
      <c r="P305" s="3" t="n">
        <v>-71.0184</v>
      </c>
      <c r="Q305" s="3" t="s">
        <v>595</v>
      </c>
      <c r="R305" s="2" t="s">
        <v>37</v>
      </c>
      <c r="S305" s="2" t="s">
        <v>203</v>
      </c>
      <c r="T305" s="4" t="n">
        <f aca="false">DATE(VALUE(MID(C305,7,4)),VALUE(MID(C305,4,2)),VALUE(MID(C305,1,2)))+TIME(VALUE(MID(C305,12,2)),VALUE(MID(C305,15,2)),0)</f>
        <v>42332.9513888889</v>
      </c>
      <c r="U305" s="2" t="str">
        <f aca="false">IF(AND(ISNUMBER(VALUE(MID(A305,7,1))),ISNUMBER(SEARCH("km",A305)),ISNUMBER(SEARCH("of",A305))),"Distance-location","Named-region")</f>
        <v>Named-region</v>
      </c>
      <c r="V305" s="2" t="str">
        <f aca="false">LOWER(M305)</f>
        <v>mww</v>
      </c>
      <c r="W305" s="5" t="str">
        <f aca="false">IF(COUNTIFS($A$2:$A$1001,A305,$C$2:$C$1001,C305)&gt;1,"Duplicate","Unique")</f>
        <v>Unique</v>
      </c>
    </row>
    <row r="306" customFormat="false" ht="15" hidden="false" customHeight="false" outlineLevel="0" collapsed="false">
      <c r="A306" s="2" t="s">
        <v>877</v>
      </c>
      <c r="B306" s="3" t="n">
        <v>7.6</v>
      </c>
      <c r="C306" s="2" t="s">
        <v>878</v>
      </c>
      <c r="D306" s="2" t="n">
        <v>6</v>
      </c>
      <c r="E306" s="2" t="n">
        <v>5</v>
      </c>
      <c r="F306" s="2" t="s">
        <v>25</v>
      </c>
      <c r="G306" s="2" t="n">
        <v>1</v>
      </c>
      <c r="H306" s="2" t="n">
        <v>957</v>
      </c>
      <c r="I306" s="2" t="s">
        <v>26</v>
      </c>
      <c r="J306" s="2" t="n">
        <v>0</v>
      </c>
      <c r="K306" s="2" t="n">
        <v>3.287</v>
      </c>
      <c r="L306" s="2" t="n">
        <v>10</v>
      </c>
      <c r="M306" s="2" t="s">
        <v>27</v>
      </c>
      <c r="N306" s="3" t="n">
        <v>606.21</v>
      </c>
      <c r="O306" s="3" t="n">
        <v>-10.5372</v>
      </c>
      <c r="P306" s="3" t="n">
        <v>-70.9437</v>
      </c>
      <c r="Q306" s="3" t="s">
        <v>595</v>
      </c>
      <c r="R306" s="2" t="s">
        <v>37</v>
      </c>
      <c r="S306" s="2" t="s">
        <v>203</v>
      </c>
      <c r="T306" s="4" t="n">
        <f aca="false">DATE(VALUE(MID(C306,7,4)),VALUE(MID(C306,4,2)),VALUE(MID(C306,1,2)))+TIME(VALUE(MID(C306,12,2)),VALUE(MID(C306,15,2)),0)</f>
        <v>42332.9479166667</v>
      </c>
      <c r="U306" s="2" t="str">
        <f aca="false">IF(AND(ISNUMBER(VALUE(MID(A306,7,1))),ISNUMBER(SEARCH("km",A306)),ISNUMBER(SEARCH("of",A306))),"Distance-location","Named-region")</f>
        <v>Named-region</v>
      </c>
      <c r="V306" s="2" t="str">
        <f aca="false">LOWER(M306)</f>
        <v>mww</v>
      </c>
      <c r="W306" s="5" t="str">
        <f aca="false">IF(COUNTIFS($A$2:$A$1001,A306,$C$2:$C$1001,C306)&gt;1,"Duplicate","Unique")</f>
        <v>Unique</v>
      </c>
    </row>
    <row r="307" customFormat="false" ht="15" hidden="false" customHeight="false" outlineLevel="0" collapsed="false">
      <c r="A307" s="2" t="s">
        <v>879</v>
      </c>
      <c r="B307" s="3" t="n">
        <v>6.8</v>
      </c>
      <c r="C307" s="2" t="s">
        <v>880</v>
      </c>
      <c r="D307" s="2" t="n">
        <v>5</v>
      </c>
      <c r="E307" s="2" t="n">
        <v>6</v>
      </c>
      <c r="F307" s="2" t="s">
        <v>25</v>
      </c>
      <c r="G307" s="2" t="n">
        <v>1</v>
      </c>
      <c r="H307" s="2" t="n">
        <v>715</v>
      </c>
      <c r="I307" s="2" t="s">
        <v>26</v>
      </c>
      <c r="J307" s="2" t="n">
        <v>0</v>
      </c>
      <c r="K307" s="2" t="n">
        <v>1.599</v>
      </c>
      <c r="L307" s="2" t="n">
        <v>19</v>
      </c>
      <c r="M307" s="2" t="s">
        <v>27</v>
      </c>
      <c r="N307" s="3" t="n">
        <v>12.59</v>
      </c>
      <c r="O307" s="3" t="n">
        <v>-8.8994</v>
      </c>
      <c r="P307" s="3" t="n">
        <v>158.422</v>
      </c>
      <c r="Q307" s="3" t="s">
        <v>881</v>
      </c>
      <c r="R307" s="2"/>
      <c r="S307" s="2" t="s">
        <v>144</v>
      </c>
      <c r="T307" s="4" t="n">
        <f aca="false">DATE(VALUE(MID(C307,7,4)),VALUE(MID(C307,4,2)),VALUE(MID(C307,1,2)))+TIME(VALUE(MID(C307,12,2)),VALUE(MID(C307,15,2)),0)</f>
        <v>42326.7715277778</v>
      </c>
      <c r="U307" s="2" t="str">
        <f aca="false">IF(AND(ISNUMBER(VALUE(MID(A307,7,1))),ISNUMBER(SEARCH("km",A307)),ISNUMBER(SEARCH("of",A307))),"Distance-location","Named-region")</f>
        <v>Named-region</v>
      </c>
      <c r="V307" s="2" t="str">
        <f aca="false">LOWER(M307)</f>
        <v>mww</v>
      </c>
      <c r="W307" s="5" t="str">
        <f aca="false">IF(COUNTIFS($A$2:$A$1001,A307,$C$2:$C$1001,C307)&gt;1,"Duplicate","Unique")</f>
        <v>Unique</v>
      </c>
    </row>
    <row r="308" customFormat="false" ht="15" hidden="false" customHeight="false" outlineLevel="0" collapsed="false">
      <c r="A308" s="2" t="s">
        <v>882</v>
      </c>
      <c r="B308" s="3" t="n">
        <v>6.5</v>
      </c>
      <c r="C308" s="2" t="s">
        <v>883</v>
      </c>
      <c r="D308" s="2" t="n">
        <v>7</v>
      </c>
      <c r="E308" s="2" t="n">
        <v>7</v>
      </c>
      <c r="F308" s="2" t="s">
        <v>99</v>
      </c>
      <c r="G308" s="2" t="n">
        <v>0</v>
      </c>
      <c r="H308" s="2" t="n">
        <v>1018</v>
      </c>
      <c r="I308" s="2" t="s">
        <v>26</v>
      </c>
      <c r="J308" s="2" t="n">
        <v>0</v>
      </c>
      <c r="K308" s="2" t="n">
        <v>0</v>
      </c>
      <c r="L308" s="2" t="n">
        <v>0</v>
      </c>
      <c r="M308" s="2" t="s">
        <v>27</v>
      </c>
      <c r="N308" s="3" t="n">
        <v>11</v>
      </c>
      <c r="O308" s="3" t="n">
        <v>38.67</v>
      </c>
      <c r="P308" s="3" t="n">
        <v>20.6</v>
      </c>
      <c r="Q308" s="3" t="s">
        <v>884</v>
      </c>
      <c r="R308" s="2" t="s">
        <v>365</v>
      </c>
      <c r="S308" s="2" t="s">
        <v>366</v>
      </c>
      <c r="T308" s="4" t="n">
        <f aca="false">DATE(VALUE(MID(C308,7,4)),VALUE(MID(C308,4,2)),VALUE(MID(C308,1,2)))+TIME(VALUE(MID(C308,12,2)),VALUE(MID(C308,15,2)),0)</f>
        <v>42325.2986111111</v>
      </c>
      <c r="U308" s="2" t="str">
        <f aca="false">IF(AND(ISNUMBER(VALUE(MID(A308,7,1))),ISNUMBER(SEARCH("km",A308)),ISNUMBER(SEARCH("of",A308))),"Distance-location","Named-region")</f>
        <v>Named-region</v>
      </c>
      <c r="V308" s="2" t="str">
        <f aca="false">LOWER(M308)</f>
        <v>mww</v>
      </c>
      <c r="W308" s="5" t="str">
        <f aca="false">IF(COUNTIFS($A$2:$A$1001,A308,$C$2:$C$1001,C308)&gt;1,"Duplicate","Unique")</f>
        <v>Unique</v>
      </c>
    </row>
    <row r="309" customFormat="false" ht="15" hidden="false" customHeight="false" outlineLevel="0" collapsed="false">
      <c r="A309" s="2" t="s">
        <v>885</v>
      </c>
      <c r="B309" s="3" t="n">
        <v>6.7</v>
      </c>
      <c r="C309" s="2" t="s">
        <v>886</v>
      </c>
      <c r="D309" s="2" t="n">
        <v>5</v>
      </c>
      <c r="E309" s="2" t="n">
        <v>4</v>
      </c>
      <c r="F309" s="2" t="s">
        <v>25</v>
      </c>
      <c r="G309" s="2" t="n">
        <v>0</v>
      </c>
      <c r="H309" s="2" t="n">
        <v>702</v>
      </c>
      <c r="I309" s="2" t="s">
        <v>26</v>
      </c>
      <c r="J309" s="2" t="n">
        <v>0</v>
      </c>
      <c r="K309" s="2" t="n">
        <v>1.444</v>
      </c>
      <c r="L309" s="2" t="n">
        <v>17</v>
      </c>
      <c r="M309" s="2" t="s">
        <v>27</v>
      </c>
      <c r="N309" s="3" t="n">
        <v>12</v>
      </c>
      <c r="O309" s="3" t="n">
        <v>31.0009</v>
      </c>
      <c r="P309" s="3" t="n">
        <v>128.873</v>
      </c>
      <c r="Q309" s="3" t="s">
        <v>887</v>
      </c>
      <c r="R309" s="2"/>
      <c r="S309" s="2"/>
      <c r="T309" s="4" t="n">
        <f aca="false">DATE(VALUE(MID(C309,7,4)),VALUE(MID(C309,4,2)),VALUE(MID(C309,1,2)))+TIME(VALUE(MID(C309,12,2)),VALUE(MID(C309,15,2)),0)</f>
        <v>42321.86875</v>
      </c>
      <c r="U309" s="2" t="str">
        <f aca="false">IF(AND(ISNUMBER(VALUE(MID(A309,7,1))),ISNUMBER(SEARCH("km",A309)),ISNUMBER(SEARCH("of",A309))),"Distance-location","Named-region")</f>
        <v>Named-region</v>
      </c>
      <c r="V309" s="2" t="str">
        <f aca="false">LOWER(M309)</f>
        <v>mww</v>
      </c>
      <c r="W309" s="5" t="str">
        <f aca="false">IF(COUNTIFS($A$2:$A$1001,A309,$C$2:$C$1001,C309)&gt;1,"Duplicate","Unique")</f>
        <v>Unique</v>
      </c>
    </row>
    <row r="310" customFormat="false" ht="15" hidden="false" customHeight="false" outlineLevel="0" collapsed="false">
      <c r="A310" s="2" t="s">
        <v>888</v>
      </c>
      <c r="B310" s="3" t="n">
        <v>6.9</v>
      </c>
      <c r="C310" s="2" t="s">
        <v>889</v>
      </c>
      <c r="D310" s="2" t="n">
        <v>5</v>
      </c>
      <c r="E310" s="2" t="n">
        <v>6</v>
      </c>
      <c r="F310" s="2" t="s">
        <v>25</v>
      </c>
      <c r="G310" s="2" t="n">
        <v>0</v>
      </c>
      <c r="H310" s="2" t="n">
        <v>744</v>
      </c>
      <c r="I310" s="2" t="s">
        <v>26</v>
      </c>
      <c r="J310" s="2" t="n">
        <v>0</v>
      </c>
      <c r="K310" s="2" t="n">
        <v>0.821</v>
      </c>
      <c r="L310" s="2" t="n">
        <v>43</v>
      </c>
      <c r="M310" s="2" t="s">
        <v>27</v>
      </c>
      <c r="N310" s="3" t="n">
        <v>10</v>
      </c>
      <c r="O310" s="3" t="n">
        <v>-29.5097</v>
      </c>
      <c r="P310" s="3" t="n">
        <v>-72.0585</v>
      </c>
      <c r="Q310" s="3" t="s">
        <v>527</v>
      </c>
      <c r="R310" s="2"/>
      <c r="S310" s="2"/>
      <c r="T310" s="4" t="n">
        <f aca="false">DATE(VALUE(MID(C310,7,4)),VALUE(MID(C310,4,2)),VALUE(MID(C310,1,2)))+TIME(VALUE(MID(C310,12,2)),VALUE(MID(C310,15,2)),0)</f>
        <v>42319.1152777778</v>
      </c>
      <c r="U310" s="2" t="str">
        <f aca="false">IF(AND(ISNUMBER(VALUE(MID(A310,7,1))),ISNUMBER(SEARCH("km",A310)),ISNUMBER(SEARCH("of",A310))),"Distance-location","Named-region")</f>
        <v>Named-region</v>
      </c>
      <c r="V310" s="2" t="str">
        <f aca="false">LOWER(M310)</f>
        <v>mww</v>
      </c>
      <c r="W310" s="5" t="str">
        <f aca="false">IF(COUNTIFS($A$2:$A$1001,A310,$C$2:$C$1001,C310)&gt;1,"Duplicate","Unique")</f>
        <v>Unique</v>
      </c>
    </row>
    <row r="311" customFormat="false" ht="15" hidden="false" customHeight="false" outlineLevel="0" collapsed="false">
      <c r="A311" s="2" t="s">
        <v>890</v>
      </c>
      <c r="B311" s="3" t="n">
        <v>6.9</v>
      </c>
      <c r="C311" s="2" t="s">
        <v>891</v>
      </c>
      <c r="D311" s="2" t="n">
        <v>6</v>
      </c>
      <c r="E311" s="2" t="n">
        <v>6</v>
      </c>
      <c r="F311" s="2" t="s">
        <v>25</v>
      </c>
      <c r="G311" s="2" t="n">
        <v>1</v>
      </c>
      <c r="H311" s="2" t="n">
        <v>761</v>
      </c>
      <c r="I311" s="2" t="s">
        <v>26</v>
      </c>
      <c r="J311" s="2" t="n">
        <v>0</v>
      </c>
      <c r="K311" s="2" t="n">
        <v>0.784</v>
      </c>
      <c r="L311" s="2" t="n">
        <v>32</v>
      </c>
      <c r="M311" s="2" t="s">
        <v>27</v>
      </c>
      <c r="N311" s="3" t="n">
        <v>12</v>
      </c>
      <c r="O311" s="3" t="n">
        <v>-29.5067</v>
      </c>
      <c r="P311" s="3" t="n">
        <v>-72.0068</v>
      </c>
      <c r="Q311" s="3" t="s">
        <v>527</v>
      </c>
      <c r="R311" s="2"/>
      <c r="S311" s="2"/>
      <c r="T311" s="4" t="n">
        <f aca="false">DATE(VALUE(MID(C311,7,4)),VALUE(MID(C311,4,2)),VALUE(MID(C311,1,2)))+TIME(VALUE(MID(C311,12,2)),VALUE(MID(C311,15,2)),0)</f>
        <v>42319.0791666667</v>
      </c>
      <c r="U311" s="2" t="str">
        <f aca="false">IF(AND(ISNUMBER(VALUE(MID(A311,7,1))),ISNUMBER(SEARCH("km",A311)),ISNUMBER(SEARCH("of",A311))),"Distance-location","Named-region")</f>
        <v>Named-region</v>
      </c>
      <c r="V311" s="2" t="str">
        <f aca="false">LOWER(M311)</f>
        <v>mww</v>
      </c>
      <c r="W311" s="5" t="str">
        <f aca="false">IF(COUNTIFS($A$2:$A$1001,A311,$C$2:$C$1001,C311)&gt;1,"Duplicate","Unique")</f>
        <v>Unique</v>
      </c>
    </row>
    <row r="312" customFormat="false" ht="15" hidden="false" customHeight="false" outlineLevel="0" collapsed="false">
      <c r="A312" s="2" t="s">
        <v>892</v>
      </c>
      <c r="B312" s="3" t="n">
        <v>6.6</v>
      </c>
      <c r="C312" s="2" t="s">
        <v>893</v>
      </c>
      <c r="D312" s="2" t="n">
        <v>7</v>
      </c>
      <c r="E312" s="2" t="n">
        <v>4</v>
      </c>
      <c r="F312" s="2" t="s">
        <v>25</v>
      </c>
      <c r="G312" s="2" t="n">
        <v>0</v>
      </c>
      <c r="H312" s="2" t="n">
        <v>675</v>
      </c>
      <c r="I312" s="2" t="s">
        <v>26</v>
      </c>
      <c r="J312" s="2" t="n">
        <v>0</v>
      </c>
      <c r="K312" s="2" t="n">
        <v>2.792</v>
      </c>
      <c r="L312" s="2" t="n">
        <v>31</v>
      </c>
      <c r="M312" s="2" t="s">
        <v>27</v>
      </c>
      <c r="N312" s="3" t="n">
        <v>10</v>
      </c>
      <c r="O312" s="3" t="n">
        <v>6.8431</v>
      </c>
      <c r="P312" s="3" t="n">
        <v>94.648</v>
      </c>
      <c r="Q312" s="3" t="s">
        <v>894</v>
      </c>
      <c r="R312" s="2"/>
      <c r="S312" s="2"/>
      <c r="T312" s="4" t="n">
        <f aca="false">DATE(VALUE(MID(C312,7,4)),VALUE(MID(C312,4,2)),VALUE(MID(C312,1,2)))+TIME(VALUE(MID(C312,12,2)),VALUE(MID(C312,15,2)),0)</f>
        <v>42316.6993055556</v>
      </c>
      <c r="U312" s="2" t="str">
        <f aca="false">IF(AND(ISNUMBER(VALUE(MID(A312,7,1))),ISNUMBER(SEARCH("km",A312)),ISNUMBER(SEARCH("of",A312))),"Distance-location","Named-region")</f>
        <v>Named-region</v>
      </c>
      <c r="V312" s="2" t="str">
        <f aca="false">LOWER(M312)</f>
        <v>mww</v>
      </c>
      <c r="W312" s="5" t="str">
        <f aca="false">IF(COUNTIFS($A$2:$A$1001,A312,$C$2:$C$1001,C312)&gt;1,"Duplicate","Unique")</f>
        <v>Unique</v>
      </c>
    </row>
    <row r="313" customFormat="false" ht="15" hidden="false" customHeight="false" outlineLevel="0" collapsed="false">
      <c r="A313" s="2" t="s">
        <v>895</v>
      </c>
      <c r="B313" s="3" t="n">
        <v>6.8</v>
      </c>
      <c r="C313" s="2" t="s">
        <v>896</v>
      </c>
      <c r="D313" s="2" t="n">
        <v>7</v>
      </c>
      <c r="E313" s="2" t="n">
        <v>7</v>
      </c>
      <c r="F313" s="2" t="s">
        <v>25</v>
      </c>
      <c r="G313" s="2" t="n">
        <v>1</v>
      </c>
      <c r="H313" s="2" t="n">
        <v>841</v>
      </c>
      <c r="I313" s="2" t="s">
        <v>26</v>
      </c>
      <c r="J313" s="2" t="n">
        <v>0</v>
      </c>
      <c r="K313" s="2" t="n">
        <v>0.258</v>
      </c>
      <c r="L313" s="2" t="n">
        <v>41</v>
      </c>
      <c r="M313" s="2" t="s">
        <v>27</v>
      </c>
      <c r="N313" s="3" t="n">
        <v>46</v>
      </c>
      <c r="O313" s="3" t="n">
        <v>-30.8796</v>
      </c>
      <c r="P313" s="3" t="n">
        <v>-71.4519</v>
      </c>
      <c r="Q313" s="3" t="s">
        <v>897</v>
      </c>
      <c r="R313" s="2" t="s">
        <v>37</v>
      </c>
      <c r="S313" s="2" t="s">
        <v>377</v>
      </c>
      <c r="T313" s="4" t="n">
        <f aca="false">DATE(VALUE(MID(C313,7,4)),VALUE(MID(C313,4,2)),VALUE(MID(C313,1,2)))+TIME(VALUE(MID(C313,12,2)),VALUE(MID(C313,15,2)),0)</f>
        <v>42315.3131944445</v>
      </c>
      <c r="U313" s="2" t="str">
        <f aca="false">IF(AND(ISNUMBER(VALUE(MID(A313,7,1))),ISNUMBER(SEARCH("km",A313)),ISNUMBER(SEARCH("of",A313))),"Distance-location","Named-region")</f>
        <v>Named-region</v>
      </c>
      <c r="V313" s="2" t="str">
        <f aca="false">LOWER(M313)</f>
        <v>mww</v>
      </c>
      <c r="W313" s="5" t="str">
        <f aca="false">IF(COUNTIFS($A$2:$A$1001,A313,$C$2:$C$1001,C313)&gt;1,"Duplicate","Unique")</f>
        <v>Unique</v>
      </c>
    </row>
    <row r="314" customFormat="false" ht="15" hidden="false" customHeight="false" outlineLevel="0" collapsed="false">
      <c r="A314" s="2" t="s">
        <v>898</v>
      </c>
      <c r="B314" s="3" t="n">
        <v>6.5</v>
      </c>
      <c r="C314" s="2" t="s">
        <v>899</v>
      </c>
      <c r="D314" s="2" t="n">
        <v>5</v>
      </c>
      <c r="E314" s="2" t="n">
        <v>7</v>
      </c>
      <c r="F314" s="2" t="s">
        <v>25</v>
      </c>
      <c r="G314" s="2" t="n">
        <v>0</v>
      </c>
      <c r="H314" s="2" t="n">
        <v>657</v>
      </c>
      <c r="I314" s="2" t="s">
        <v>26</v>
      </c>
      <c r="J314" s="2" t="n">
        <v>0</v>
      </c>
      <c r="K314" s="2" t="n">
        <v>1.53</v>
      </c>
      <c r="L314" s="2" t="n">
        <v>21</v>
      </c>
      <c r="M314" s="2" t="s">
        <v>27</v>
      </c>
      <c r="N314" s="3" t="n">
        <v>20</v>
      </c>
      <c r="O314" s="3" t="n">
        <v>-8.3381</v>
      </c>
      <c r="P314" s="3" t="n">
        <v>124.875</v>
      </c>
      <c r="Q314" s="3" t="s">
        <v>900</v>
      </c>
      <c r="R314" s="2"/>
      <c r="S314" s="2" t="s">
        <v>72</v>
      </c>
      <c r="T314" s="4" t="n">
        <f aca="false">DATE(VALUE(MID(C314,7,4)),VALUE(MID(C314,4,2)),VALUE(MID(C314,1,2)))+TIME(VALUE(MID(C314,12,2)),VALUE(MID(C314,15,2)),0)</f>
        <v>42312.1555555556</v>
      </c>
      <c r="U314" s="2" t="str">
        <f aca="false">IF(AND(ISNUMBER(VALUE(MID(A314,7,1))),ISNUMBER(SEARCH("km",A314)),ISNUMBER(SEARCH("of",A314))),"Distance-location","Named-region")</f>
        <v>Named-region</v>
      </c>
      <c r="V314" s="2" t="str">
        <f aca="false">LOWER(M314)</f>
        <v>mww</v>
      </c>
      <c r="W314" s="5" t="str">
        <f aca="false">IF(COUNTIFS($A$2:$A$1001,A314,$C$2:$C$1001,C314)&gt;1,"Duplicate","Unique")</f>
        <v>Unique</v>
      </c>
    </row>
    <row r="315" customFormat="false" ht="15" hidden="false" customHeight="false" outlineLevel="0" collapsed="false">
      <c r="A315" s="2" t="s">
        <v>901</v>
      </c>
      <c r="B315" s="3" t="n">
        <v>7.5</v>
      </c>
      <c r="C315" s="2" t="s">
        <v>902</v>
      </c>
      <c r="D315" s="2" t="n">
        <v>8</v>
      </c>
      <c r="E315" s="2" t="n">
        <v>7</v>
      </c>
      <c r="F315" s="2" t="s">
        <v>99</v>
      </c>
      <c r="G315" s="2" t="n">
        <v>0</v>
      </c>
      <c r="H315" s="2" t="n">
        <v>1448</v>
      </c>
      <c r="I315" s="2" t="s">
        <v>26</v>
      </c>
      <c r="J315" s="2" t="n">
        <v>0</v>
      </c>
      <c r="K315" s="2" t="n">
        <v>0.622</v>
      </c>
      <c r="L315" s="2" t="n">
        <v>18</v>
      </c>
      <c r="M315" s="2" t="s">
        <v>27</v>
      </c>
      <c r="N315" s="3" t="n">
        <v>231</v>
      </c>
      <c r="O315" s="3" t="n">
        <v>36.5244</v>
      </c>
      <c r="P315" s="3" t="n">
        <v>70.3676</v>
      </c>
      <c r="Q315" s="3" t="s">
        <v>903</v>
      </c>
      <c r="R315" s="2" t="s">
        <v>84</v>
      </c>
      <c r="S315" s="2" t="s">
        <v>96</v>
      </c>
      <c r="T315" s="4" t="n">
        <f aca="false">DATE(VALUE(MID(C315,7,4)),VALUE(MID(C315,4,2)),VALUE(MID(C315,1,2)))+TIME(VALUE(MID(C315,12,2)),VALUE(MID(C315,15,2)),0)</f>
        <v>42303.38125</v>
      </c>
      <c r="U315" s="2" t="str">
        <f aca="false">IF(AND(ISNUMBER(VALUE(MID(A315,7,1))),ISNUMBER(SEARCH("km",A315)),ISNUMBER(SEARCH("of",A315))),"Distance-location","Named-region")</f>
        <v>Named-region</v>
      </c>
      <c r="V315" s="2" t="str">
        <f aca="false">LOWER(M315)</f>
        <v>mww</v>
      </c>
      <c r="W315" s="5" t="str">
        <f aca="false">IF(COUNTIFS($A$2:$A$1001,A315,$C$2:$C$1001,C315)&gt;1,"Duplicate","Unique")</f>
        <v>Unique</v>
      </c>
    </row>
    <row r="316" customFormat="false" ht="15" hidden="false" customHeight="false" outlineLevel="0" collapsed="false">
      <c r="A316" s="2" t="s">
        <v>904</v>
      </c>
      <c r="B316" s="3" t="n">
        <v>7.1</v>
      </c>
      <c r="C316" s="2" t="s">
        <v>905</v>
      </c>
      <c r="D316" s="2" t="n">
        <v>6</v>
      </c>
      <c r="E316" s="2" t="n">
        <v>6</v>
      </c>
      <c r="F316" s="2" t="s">
        <v>25</v>
      </c>
      <c r="G316" s="2" t="n">
        <v>1</v>
      </c>
      <c r="H316" s="2" t="n">
        <v>780</v>
      </c>
      <c r="I316" s="2" t="s">
        <v>26</v>
      </c>
      <c r="J316" s="2" t="n">
        <v>0</v>
      </c>
      <c r="K316" s="2" t="n">
        <v>0.592</v>
      </c>
      <c r="L316" s="2" t="n">
        <v>11</v>
      </c>
      <c r="M316" s="2" t="s">
        <v>27</v>
      </c>
      <c r="N316" s="3" t="n">
        <v>135</v>
      </c>
      <c r="O316" s="3" t="n">
        <v>-14.8595</v>
      </c>
      <c r="P316" s="3" t="n">
        <v>167.303</v>
      </c>
      <c r="Q316" s="3" t="s">
        <v>108</v>
      </c>
      <c r="R316" s="2"/>
      <c r="S316" s="2" t="s">
        <v>29</v>
      </c>
      <c r="T316" s="4" t="n">
        <f aca="false">DATE(VALUE(MID(C316,7,4)),VALUE(MID(C316,4,2)),VALUE(MID(C316,1,2)))+TIME(VALUE(MID(C316,12,2)),VALUE(MID(C316,15,2)),0)</f>
        <v>42297.9111111111</v>
      </c>
      <c r="U316" s="2" t="str">
        <f aca="false">IF(AND(ISNUMBER(VALUE(MID(A316,7,1))),ISNUMBER(SEARCH("km",A316)),ISNUMBER(SEARCH("of",A316))),"Distance-location","Named-region")</f>
        <v>Named-region</v>
      </c>
      <c r="V316" s="2" t="str">
        <f aca="false">LOWER(M316)</f>
        <v>mww</v>
      </c>
      <c r="W316" s="5" t="str">
        <f aca="false">IF(COUNTIFS($A$2:$A$1001,A316,$C$2:$C$1001,C316)&gt;1,"Duplicate","Unique")</f>
        <v>Unique</v>
      </c>
    </row>
    <row r="317" customFormat="false" ht="15" hidden="false" customHeight="false" outlineLevel="0" collapsed="false">
      <c r="A317" s="2" t="s">
        <v>906</v>
      </c>
      <c r="B317" s="3" t="n">
        <v>6.6</v>
      </c>
      <c r="C317" s="2" t="s">
        <v>907</v>
      </c>
      <c r="D317" s="2" t="n">
        <v>7</v>
      </c>
      <c r="E317" s="2" t="n">
        <v>7</v>
      </c>
      <c r="F317" s="2" t="s">
        <v>25</v>
      </c>
      <c r="G317" s="2" t="n">
        <v>0</v>
      </c>
      <c r="H317" s="2" t="n">
        <v>671</v>
      </c>
      <c r="I317" s="2" t="s">
        <v>26</v>
      </c>
      <c r="J317" s="2" t="n">
        <v>0</v>
      </c>
      <c r="K317" s="2" t="n">
        <v>2.486</v>
      </c>
      <c r="L317" s="2" t="n">
        <v>13</v>
      </c>
      <c r="M317" s="2" t="s">
        <v>27</v>
      </c>
      <c r="N317" s="3" t="n">
        <v>18</v>
      </c>
      <c r="O317" s="3" t="n">
        <v>-0.6212</v>
      </c>
      <c r="P317" s="3" t="n">
        <v>131.262</v>
      </c>
      <c r="Q317" s="3" t="s">
        <v>908</v>
      </c>
      <c r="R317" s="2"/>
      <c r="S317" s="2" t="s">
        <v>72</v>
      </c>
      <c r="T317" s="4" t="n">
        <f aca="false">DATE(VALUE(MID(C317,7,4)),VALUE(MID(C317,4,2)),VALUE(MID(C317,1,2)))+TIME(VALUE(MID(C317,12,2)),VALUE(MID(C317,15,2)),0)</f>
        <v>42271.6618055556</v>
      </c>
      <c r="U317" s="2" t="str">
        <f aca="false">IF(AND(ISNUMBER(VALUE(MID(A317,7,1))),ISNUMBER(SEARCH("km",A317)),ISNUMBER(SEARCH("of",A317))),"Distance-location","Named-region")</f>
        <v>Named-region</v>
      </c>
      <c r="V317" s="2" t="str">
        <f aca="false">LOWER(M317)</f>
        <v>mww</v>
      </c>
      <c r="W317" s="5" t="str">
        <f aca="false">IF(COUNTIFS($A$2:$A$1001,A317,$C$2:$C$1001,C317)&gt;1,"Duplicate","Unique")</f>
        <v>Unique</v>
      </c>
    </row>
    <row r="318" customFormat="false" ht="15" hidden="false" customHeight="false" outlineLevel="0" collapsed="false">
      <c r="A318" s="2" t="s">
        <v>909</v>
      </c>
      <c r="B318" s="3" t="n">
        <v>6.6</v>
      </c>
      <c r="C318" s="2" t="s">
        <v>910</v>
      </c>
      <c r="D318" s="2" t="n">
        <v>5</v>
      </c>
      <c r="E318" s="2" t="n">
        <v>7</v>
      </c>
      <c r="F318" s="2" t="s">
        <v>25</v>
      </c>
      <c r="G318" s="2" t="n">
        <v>1</v>
      </c>
      <c r="H318" s="2" t="n">
        <v>820</v>
      </c>
      <c r="I318" s="2" t="s">
        <v>26</v>
      </c>
      <c r="J318" s="2" t="n">
        <v>0</v>
      </c>
      <c r="K318" s="2" t="n">
        <v>1.064</v>
      </c>
      <c r="L318" s="2" t="n">
        <v>14</v>
      </c>
      <c r="M318" s="2" t="s">
        <v>27</v>
      </c>
      <c r="N318" s="3" t="n">
        <v>35</v>
      </c>
      <c r="O318" s="3" t="n">
        <v>-31.7275</v>
      </c>
      <c r="P318" s="3" t="n">
        <v>-71.3792</v>
      </c>
      <c r="Q318" s="3" t="s">
        <v>911</v>
      </c>
      <c r="R318" s="2" t="s">
        <v>37</v>
      </c>
      <c r="S318" s="2" t="s">
        <v>377</v>
      </c>
      <c r="T318" s="4" t="n">
        <f aca="false">DATE(VALUE(MID(C318,7,4)),VALUE(MID(C318,4,2)),VALUE(MID(C318,1,2)))+TIME(VALUE(MID(C318,12,2)),VALUE(MID(C318,15,2)),0)</f>
        <v>42268.7361111111</v>
      </c>
      <c r="U318" s="2" t="str">
        <f aca="false">IF(AND(ISNUMBER(VALUE(MID(A318,7,1))),ISNUMBER(SEARCH("km",A318)),ISNUMBER(SEARCH("of",A318))),"Distance-location","Named-region")</f>
        <v>Named-region</v>
      </c>
      <c r="V318" s="2" t="str">
        <f aca="false">LOWER(M318)</f>
        <v>mww</v>
      </c>
      <c r="W318" s="5" t="str">
        <f aca="false">IF(COUNTIFS($A$2:$A$1001,A318,$C$2:$C$1001,C318)&gt;1,"Duplicate","Unique")</f>
        <v>Unique</v>
      </c>
    </row>
    <row r="319" customFormat="false" ht="15" hidden="false" customHeight="false" outlineLevel="0" collapsed="false">
      <c r="A319" s="2" t="s">
        <v>912</v>
      </c>
      <c r="B319" s="3" t="n">
        <v>6.7</v>
      </c>
      <c r="C319" s="2" t="s">
        <v>913</v>
      </c>
      <c r="D319" s="2" t="n">
        <v>5</v>
      </c>
      <c r="E319" s="2" t="n">
        <v>7</v>
      </c>
      <c r="F319" s="2" t="s">
        <v>25</v>
      </c>
      <c r="G319" s="2" t="n">
        <v>0</v>
      </c>
      <c r="H319" s="2" t="n">
        <v>718</v>
      </c>
      <c r="I319" s="2" t="s">
        <v>26</v>
      </c>
      <c r="J319" s="2" t="n">
        <v>0</v>
      </c>
      <c r="K319" s="2" t="n">
        <v>0.853</v>
      </c>
      <c r="L319" s="2" t="n">
        <v>35</v>
      </c>
      <c r="M319" s="2" t="s">
        <v>27</v>
      </c>
      <c r="N319" s="3" t="n">
        <v>23</v>
      </c>
      <c r="O319" s="3" t="n">
        <v>-31.5173</v>
      </c>
      <c r="P319" s="3" t="n">
        <v>-71.804</v>
      </c>
      <c r="Q319" s="3" t="s">
        <v>911</v>
      </c>
      <c r="R319" s="2"/>
      <c r="S319" s="2" t="s">
        <v>377</v>
      </c>
      <c r="T319" s="4" t="n">
        <f aca="false">DATE(VALUE(MID(C319,7,4)),VALUE(MID(C319,4,2)),VALUE(MID(C319,1,2)))+TIME(VALUE(MID(C319,12,2)),VALUE(MID(C319,15,2)),0)</f>
        <v>42264.1736111111</v>
      </c>
      <c r="U319" s="2" t="str">
        <f aca="false">IF(AND(ISNUMBER(VALUE(MID(A319,7,1))),ISNUMBER(SEARCH("km",A319)),ISNUMBER(SEARCH("of",A319))),"Distance-location","Named-region")</f>
        <v>Named-region</v>
      </c>
      <c r="V319" s="2" t="str">
        <f aca="false">LOWER(M319)</f>
        <v>mww</v>
      </c>
      <c r="W319" s="5" t="str">
        <f aca="false">IF(COUNTIFS($A$2:$A$1001,A319,$C$2:$C$1001,C319)&gt;1,"Duplicate","Unique")</f>
        <v>Unique</v>
      </c>
    </row>
    <row r="320" customFormat="false" ht="15" hidden="false" customHeight="false" outlineLevel="0" collapsed="false">
      <c r="A320" s="2" t="s">
        <v>914</v>
      </c>
      <c r="B320" s="3" t="n">
        <v>6.5</v>
      </c>
      <c r="C320" s="2" t="s">
        <v>915</v>
      </c>
      <c r="D320" s="2" t="n">
        <v>6</v>
      </c>
      <c r="E320" s="2" t="n">
        <v>7</v>
      </c>
      <c r="F320" s="2" t="s">
        <v>25</v>
      </c>
      <c r="G320" s="2" t="n">
        <v>0</v>
      </c>
      <c r="H320" s="2" t="n">
        <v>657</v>
      </c>
      <c r="I320" s="2" t="s">
        <v>26</v>
      </c>
      <c r="J320" s="2" t="n">
        <v>0</v>
      </c>
      <c r="K320" s="2" t="n">
        <v>0.749</v>
      </c>
      <c r="L320" s="2" t="n">
        <v>62</v>
      </c>
      <c r="M320" s="2" t="s">
        <v>27</v>
      </c>
      <c r="N320" s="3" t="n">
        <v>27</v>
      </c>
      <c r="O320" s="3" t="n">
        <v>-31.4244</v>
      </c>
      <c r="P320" s="3" t="n">
        <v>-71.6876</v>
      </c>
      <c r="Q320" s="3" t="s">
        <v>911</v>
      </c>
      <c r="R320" s="2"/>
      <c r="S320" s="2" t="s">
        <v>377</v>
      </c>
      <c r="T320" s="4" t="n">
        <f aca="false">DATE(VALUE(MID(C320,7,4)),VALUE(MID(C320,4,2)),VALUE(MID(C320,1,2)))+TIME(VALUE(MID(C320,12,2)),VALUE(MID(C320,15,2)),0)</f>
        <v>42264.1631944444</v>
      </c>
      <c r="U320" s="2" t="str">
        <f aca="false">IF(AND(ISNUMBER(VALUE(MID(A320,7,1))),ISNUMBER(SEARCH("km",A320)),ISNUMBER(SEARCH("of",A320))),"Distance-location","Named-region")</f>
        <v>Named-region</v>
      </c>
      <c r="V320" s="2" t="str">
        <f aca="false">LOWER(M320)</f>
        <v>mww</v>
      </c>
      <c r="W320" s="5" t="str">
        <f aca="false">IF(COUNTIFS($A$2:$A$1001,A320,$C$2:$C$1001,C320)&gt;1,"Duplicate","Unique")</f>
        <v>Unique</v>
      </c>
    </row>
    <row r="321" customFormat="false" ht="15" hidden="false" customHeight="false" outlineLevel="0" collapsed="false">
      <c r="A321" s="2" t="s">
        <v>916</v>
      </c>
      <c r="B321" s="3" t="n">
        <v>7</v>
      </c>
      <c r="C321" s="2" t="s">
        <v>917</v>
      </c>
      <c r="D321" s="2" t="n">
        <v>8</v>
      </c>
      <c r="E321" s="2" t="n">
        <v>7</v>
      </c>
      <c r="F321" s="2" t="s">
        <v>25</v>
      </c>
      <c r="G321" s="2" t="n">
        <v>0</v>
      </c>
      <c r="H321" s="2" t="n">
        <v>799</v>
      </c>
      <c r="I321" s="2" t="s">
        <v>26</v>
      </c>
      <c r="J321" s="2" t="n">
        <v>0</v>
      </c>
      <c r="K321" s="2" t="n">
        <v>0.903</v>
      </c>
      <c r="L321" s="2" t="n">
        <v>13</v>
      </c>
      <c r="M321" s="2" t="s">
        <v>27</v>
      </c>
      <c r="N321" s="3" t="n">
        <v>28.41</v>
      </c>
      <c r="O321" s="3" t="n">
        <v>-31.5622</v>
      </c>
      <c r="P321" s="3" t="n">
        <v>-71.4262</v>
      </c>
      <c r="Q321" s="3" t="s">
        <v>911</v>
      </c>
      <c r="R321" s="2" t="s">
        <v>37</v>
      </c>
      <c r="S321" s="2" t="s">
        <v>377</v>
      </c>
      <c r="T321" s="4" t="n">
        <f aca="false">DATE(VALUE(MID(C321,7,4)),VALUE(MID(C321,4,2)),VALUE(MID(C321,1,2)))+TIME(VALUE(MID(C321,12,2)),VALUE(MID(C321,15,2)),0)</f>
        <v>42263.9708333333</v>
      </c>
      <c r="U321" s="2" t="str">
        <f aca="false">IF(AND(ISNUMBER(VALUE(MID(A321,7,1))),ISNUMBER(SEARCH("km",A321)),ISNUMBER(SEARCH("of",A321))),"Distance-location","Named-region")</f>
        <v>Named-region</v>
      </c>
      <c r="V321" s="2" t="str">
        <f aca="false">LOWER(M321)</f>
        <v>mww</v>
      </c>
      <c r="W321" s="5" t="str">
        <f aca="false">IF(COUNTIFS($A$2:$A$1001,A321,$C$2:$C$1001,C321)&gt;1,"Duplicate","Unique")</f>
        <v>Unique</v>
      </c>
    </row>
    <row r="322" customFormat="false" ht="15" hidden="false" customHeight="false" outlineLevel="0" collapsed="false">
      <c r="A322" s="2" t="s">
        <v>918</v>
      </c>
      <c r="B322" s="3" t="n">
        <v>8.3</v>
      </c>
      <c r="C322" s="2" t="s">
        <v>919</v>
      </c>
      <c r="D322" s="2" t="n">
        <v>9</v>
      </c>
      <c r="E322" s="2" t="n">
        <v>8</v>
      </c>
      <c r="F322" s="2" t="s">
        <v>99</v>
      </c>
      <c r="G322" s="2" t="n">
        <v>1</v>
      </c>
      <c r="H322" s="2" t="n">
        <v>1960</v>
      </c>
      <c r="I322" s="2" t="s">
        <v>26</v>
      </c>
      <c r="J322" s="2" t="n">
        <v>0</v>
      </c>
      <c r="K322" s="2" t="n">
        <v>0.684</v>
      </c>
      <c r="L322" s="2" t="n">
        <v>19</v>
      </c>
      <c r="M322" s="2" t="s">
        <v>27</v>
      </c>
      <c r="N322" s="3" t="n">
        <v>22.44</v>
      </c>
      <c r="O322" s="3" t="n">
        <v>-31.5729</v>
      </c>
      <c r="P322" s="3" t="n">
        <v>-71.6744</v>
      </c>
      <c r="Q322" s="3" t="s">
        <v>911</v>
      </c>
      <c r="R322" s="2"/>
      <c r="S322" s="2" t="s">
        <v>377</v>
      </c>
      <c r="T322" s="4" t="n">
        <f aca="false">DATE(VALUE(MID(C322,7,4)),VALUE(MID(C322,4,2)),VALUE(MID(C322,1,2)))+TIME(VALUE(MID(C322,12,2)),VALUE(MID(C322,15,2)),0)</f>
        <v>42263.9541666667</v>
      </c>
      <c r="U322" s="2" t="str">
        <f aca="false">IF(AND(ISNUMBER(VALUE(MID(A322,7,1))),ISNUMBER(SEARCH("km",A322)),ISNUMBER(SEARCH("of",A322))),"Distance-location","Named-region")</f>
        <v>Named-region</v>
      </c>
      <c r="V322" s="2" t="str">
        <f aca="false">LOWER(M322)</f>
        <v>mww</v>
      </c>
      <c r="W322" s="5" t="str">
        <f aca="false">IF(COUNTIFS($A$2:$A$1001,A322,$C$2:$C$1001,C322)&gt;1,"Duplicate","Unique")</f>
        <v>Unique</v>
      </c>
    </row>
    <row r="323" customFormat="false" ht="15" hidden="false" customHeight="false" outlineLevel="0" collapsed="false">
      <c r="A323" s="2" t="s">
        <v>920</v>
      </c>
      <c r="B323" s="3" t="n">
        <v>6.7</v>
      </c>
      <c r="C323" s="2" t="s">
        <v>921</v>
      </c>
      <c r="D323" s="2" t="n">
        <v>5</v>
      </c>
      <c r="E323" s="2" t="n">
        <v>5</v>
      </c>
      <c r="F323" s="2" t="s">
        <v>25</v>
      </c>
      <c r="G323" s="2" t="n">
        <v>1</v>
      </c>
      <c r="H323" s="2" t="n">
        <v>708</v>
      </c>
      <c r="I323" s="2" t="s">
        <v>26</v>
      </c>
      <c r="J323" s="2" t="n">
        <v>0</v>
      </c>
      <c r="K323" s="2" t="n">
        <v>1.256</v>
      </c>
      <c r="L323" s="2" t="n">
        <v>123</v>
      </c>
      <c r="M323" s="2" t="s">
        <v>27</v>
      </c>
      <c r="N323" s="3" t="n">
        <v>10</v>
      </c>
      <c r="O323" s="3" t="n">
        <v>24.913</v>
      </c>
      <c r="P323" s="3" t="n">
        <v>-109.623</v>
      </c>
      <c r="Q323" s="3" t="s">
        <v>922</v>
      </c>
      <c r="R323" s="2"/>
      <c r="S323" s="2"/>
      <c r="T323" s="4" t="n">
        <f aca="false">DATE(VALUE(MID(C323,7,4)),VALUE(MID(C323,4,2)),VALUE(MID(C323,1,2)))+TIME(VALUE(MID(C323,12,2)),VALUE(MID(C323,15,2)),0)</f>
        <v>42260.3430555556</v>
      </c>
      <c r="U323" s="2" t="str">
        <f aca="false">IF(AND(ISNUMBER(VALUE(MID(A323,7,1))),ISNUMBER(SEARCH("km",A323)),ISNUMBER(SEARCH("of",A323))),"Distance-location","Named-region")</f>
        <v>Named-region</v>
      </c>
      <c r="V323" s="2" t="str">
        <f aca="false">LOWER(M323)</f>
        <v>mww</v>
      </c>
      <c r="W323" s="5" t="str">
        <f aca="false">IF(COUNTIFS($A$2:$A$1001,A323,$C$2:$C$1001,C323)&gt;1,"Duplicate","Unique")</f>
        <v>Unique</v>
      </c>
    </row>
    <row r="324" customFormat="false" ht="15" hidden="false" customHeight="false" outlineLevel="0" collapsed="false">
      <c r="A324" s="2" t="s">
        <v>923</v>
      </c>
      <c r="B324" s="3" t="n">
        <v>6.5</v>
      </c>
      <c r="C324" s="2" t="s">
        <v>924</v>
      </c>
      <c r="D324" s="2" t="n">
        <v>0</v>
      </c>
      <c r="E324" s="2" t="n">
        <v>5</v>
      </c>
      <c r="F324" s="2" t="s">
        <v>25</v>
      </c>
      <c r="G324" s="2" t="n">
        <v>1</v>
      </c>
      <c r="H324" s="2" t="n">
        <v>650</v>
      </c>
      <c r="I324" s="2" t="s">
        <v>26</v>
      </c>
      <c r="J324" s="2" t="n">
        <v>0</v>
      </c>
      <c r="K324" s="2" t="n">
        <v>2.045</v>
      </c>
      <c r="L324" s="2" t="n">
        <v>16</v>
      </c>
      <c r="M324" s="2" t="s">
        <v>27</v>
      </c>
      <c r="N324" s="3" t="n">
        <v>6.43</v>
      </c>
      <c r="O324" s="3" t="n">
        <v>-9.3293</v>
      </c>
      <c r="P324" s="3" t="n">
        <v>157.877</v>
      </c>
      <c r="Q324" s="3" t="s">
        <v>925</v>
      </c>
      <c r="R324" s="2"/>
      <c r="S324" s="2"/>
      <c r="T324" s="4" t="n">
        <f aca="false">DATE(VALUE(MID(C324,7,4)),VALUE(MID(C324,4,2)),VALUE(MID(C324,1,2)))+TIME(VALUE(MID(C324,12,2)),VALUE(MID(C324,15,2)),0)</f>
        <v>42228.7840277778</v>
      </c>
      <c r="U324" s="2" t="str">
        <f aca="false">IF(AND(ISNUMBER(VALUE(MID(A324,7,1))),ISNUMBER(SEARCH("km",A324)),ISNUMBER(SEARCH("of",A324))),"Distance-location","Named-region")</f>
        <v>Named-region</v>
      </c>
      <c r="V324" s="2" t="str">
        <f aca="false">LOWER(M324)</f>
        <v>mww</v>
      </c>
      <c r="W324" s="5" t="str">
        <f aca="false">IF(COUNTIFS($A$2:$A$1001,A324,$C$2:$C$1001,C324)&gt;1,"Duplicate","Unique")</f>
        <v>Unique</v>
      </c>
    </row>
    <row r="325" customFormat="false" ht="15" hidden="false" customHeight="false" outlineLevel="0" collapsed="false">
      <c r="A325" s="2" t="s">
        <v>926</v>
      </c>
      <c r="B325" s="3" t="n">
        <v>6.6</v>
      </c>
      <c r="C325" s="2" t="s">
        <v>927</v>
      </c>
      <c r="D325" s="2" t="n">
        <v>3</v>
      </c>
      <c r="E325" s="2" t="n">
        <v>5</v>
      </c>
      <c r="F325" s="2" t="s">
        <v>25</v>
      </c>
      <c r="G325" s="2" t="n">
        <v>1</v>
      </c>
      <c r="H325" s="2" t="n">
        <v>671</v>
      </c>
      <c r="I325" s="2" t="s">
        <v>26</v>
      </c>
      <c r="J325" s="2" t="n">
        <v>0</v>
      </c>
      <c r="K325" s="2" t="n">
        <v>1.872</v>
      </c>
      <c r="L325" s="2" t="n">
        <v>20</v>
      </c>
      <c r="M325" s="2" t="s">
        <v>27</v>
      </c>
      <c r="N325" s="3" t="n">
        <v>22</v>
      </c>
      <c r="O325" s="3" t="n">
        <v>-9.3438</v>
      </c>
      <c r="P325" s="3" t="n">
        <v>158.053</v>
      </c>
      <c r="Q325" s="3" t="s">
        <v>142</v>
      </c>
      <c r="R325" s="2"/>
      <c r="S325" s="2"/>
      <c r="T325" s="4" t="n">
        <f aca="false">DATE(VALUE(MID(C325,7,4)),VALUE(MID(C325,4,2)),VALUE(MID(C325,1,2)))+TIME(VALUE(MID(C325,12,2)),VALUE(MID(C325,15,2)),0)</f>
        <v>42226.175</v>
      </c>
      <c r="U325" s="2" t="str">
        <f aca="false">IF(AND(ISNUMBER(VALUE(MID(A325,7,1))),ISNUMBER(SEARCH("km",A325)),ISNUMBER(SEARCH("of",A325))),"Distance-location","Named-region")</f>
        <v>Named-region</v>
      </c>
      <c r="V325" s="2" t="str">
        <f aca="false">LOWER(M325)</f>
        <v>mww</v>
      </c>
      <c r="W325" s="5" t="str">
        <f aca="false">IF(COUNTIFS($A$2:$A$1001,A325,$C$2:$C$1001,C325)&gt;1,"Duplicate","Unique")</f>
        <v>Unique</v>
      </c>
    </row>
    <row r="326" customFormat="false" ht="15" hidden="false" customHeight="false" outlineLevel="0" collapsed="false">
      <c r="A326" s="2" t="s">
        <v>928</v>
      </c>
      <c r="B326" s="3" t="n">
        <v>7</v>
      </c>
      <c r="C326" s="2" t="s">
        <v>929</v>
      </c>
      <c r="D326" s="2" t="n">
        <v>9</v>
      </c>
      <c r="E326" s="2" t="n">
        <v>7</v>
      </c>
      <c r="F326" s="2" t="s">
        <v>25</v>
      </c>
      <c r="G326" s="2" t="n">
        <v>1</v>
      </c>
      <c r="H326" s="2" t="n">
        <v>762</v>
      </c>
      <c r="I326" s="2" t="s">
        <v>26</v>
      </c>
      <c r="J326" s="2" t="n">
        <v>0</v>
      </c>
      <c r="K326" s="2" t="n">
        <v>6.278</v>
      </c>
      <c r="L326" s="2" t="n">
        <v>12</v>
      </c>
      <c r="M326" s="2" t="s">
        <v>27</v>
      </c>
      <c r="N326" s="3" t="n">
        <v>48</v>
      </c>
      <c r="O326" s="3" t="n">
        <v>-2.6286</v>
      </c>
      <c r="P326" s="3" t="n">
        <v>138.528</v>
      </c>
      <c r="Q326" s="3" t="s">
        <v>930</v>
      </c>
      <c r="R326" s="2"/>
      <c r="S326" s="2" t="s">
        <v>72</v>
      </c>
      <c r="T326" s="4" t="n">
        <f aca="false">DATE(VALUE(MID(C326,7,4)),VALUE(MID(C326,4,2)),VALUE(MID(C326,1,2)))+TIME(VALUE(MID(C326,12,2)),VALUE(MID(C326,15,2)),0)</f>
        <v>42212.9034722222</v>
      </c>
      <c r="U326" s="2" t="str">
        <f aca="false">IF(AND(ISNUMBER(VALUE(MID(A326,7,1))),ISNUMBER(SEARCH("km",A326)),ISNUMBER(SEARCH("of",A326))),"Distance-location","Named-region")</f>
        <v>Named-region</v>
      </c>
      <c r="V326" s="2" t="str">
        <f aca="false">LOWER(M326)</f>
        <v>mww</v>
      </c>
      <c r="W326" s="5" t="str">
        <f aca="false">IF(COUNTIFS($A$2:$A$1001,A326,$C$2:$C$1001,C326)&gt;1,"Duplicate","Unique")</f>
        <v>Unique</v>
      </c>
    </row>
    <row r="327" customFormat="false" ht="15" hidden="false" customHeight="false" outlineLevel="0" collapsed="false">
      <c r="A327" s="2" t="s">
        <v>931</v>
      </c>
      <c r="B327" s="3" t="n">
        <v>6.9</v>
      </c>
      <c r="C327" s="2" t="s">
        <v>932</v>
      </c>
      <c r="D327" s="2" t="n">
        <v>4</v>
      </c>
      <c r="E327" s="2" t="n">
        <v>7</v>
      </c>
      <c r="F327" s="2" t="s">
        <v>25</v>
      </c>
      <c r="G327" s="2" t="n">
        <v>1</v>
      </c>
      <c r="H327" s="2" t="n">
        <v>734</v>
      </c>
      <c r="I327" s="2" t="s">
        <v>26</v>
      </c>
      <c r="J327" s="2" t="n">
        <v>0</v>
      </c>
      <c r="K327" s="2" t="n">
        <v>0.444</v>
      </c>
      <c r="L327" s="2" t="n">
        <v>39</v>
      </c>
      <c r="M327" s="2" t="s">
        <v>27</v>
      </c>
      <c r="N327" s="3" t="n">
        <v>29</v>
      </c>
      <c r="O327" s="3" t="n">
        <v>52.376</v>
      </c>
      <c r="P327" s="3" t="n">
        <v>-169.446</v>
      </c>
      <c r="Q327" s="3" t="s">
        <v>933</v>
      </c>
      <c r="R327" s="2"/>
      <c r="S327" s="2"/>
      <c r="T327" s="4" t="n">
        <f aca="false">DATE(VALUE(MID(C327,7,4)),VALUE(MID(C327,4,2)),VALUE(MID(C327,1,2)))+TIME(VALUE(MID(C327,12,2)),VALUE(MID(C327,15,2)),0)</f>
        <v>42212.2006944444</v>
      </c>
      <c r="U327" s="2" t="str">
        <f aca="false">IF(AND(ISNUMBER(VALUE(MID(A327,7,1))),ISNUMBER(SEARCH("km",A327)),ISNUMBER(SEARCH("of",A327))),"Distance-location","Named-region")</f>
        <v>Named-region</v>
      </c>
      <c r="V327" s="2" t="str">
        <f aca="false">LOWER(M327)</f>
        <v>mww</v>
      </c>
      <c r="W327" s="5" t="str">
        <f aca="false">IF(COUNTIFS($A$2:$A$1001,A327,$C$2:$C$1001,C327)&gt;1,"Duplicate","Unique")</f>
        <v>Unique</v>
      </c>
    </row>
    <row r="328" customFormat="false" ht="15" hidden="false" customHeight="false" outlineLevel="0" collapsed="false">
      <c r="A328" s="2" t="s">
        <v>934</v>
      </c>
      <c r="B328" s="3" t="n">
        <v>7</v>
      </c>
      <c r="C328" s="2" t="s">
        <v>935</v>
      </c>
      <c r="D328" s="2" t="n">
        <v>8</v>
      </c>
      <c r="E328" s="2" t="n">
        <v>6</v>
      </c>
      <c r="F328" s="2" t="s">
        <v>25</v>
      </c>
      <c r="G328" s="2" t="n">
        <v>1</v>
      </c>
      <c r="H328" s="2" t="n">
        <v>759</v>
      </c>
      <c r="I328" s="2" t="s">
        <v>26</v>
      </c>
      <c r="J328" s="2" t="n">
        <v>0</v>
      </c>
      <c r="K328" s="2" t="n">
        <v>5.205</v>
      </c>
      <c r="L328" s="2" t="n">
        <v>22</v>
      </c>
      <c r="M328" s="2" t="s">
        <v>27</v>
      </c>
      <c r="N328" s="3" t="n">
        <v>11</v>
      </c>
      <c r="O328" s="3" t="n">
        <v>-10.4012</v>
      </c>
      <c r="P328" s="3" t="n">
        <v>165.141</v>
      </c>
      <c r="Q328" s="3" t="s">
        <v>416</v>
      </c>
      <c r="R328" s="2"/>
      <c r="S328" s="2"/>
      <c r="T328" s="4" t="n">
        <f aca="false">DATE(VALUE(MID(C328,7,4)),VALUE(MID(C328,4,2)),VALUE(MID(C328,1,2)))+TIME(VALUE(MID(C328,12,2)),VALUE(MID(C328,15,2)),0)</f>
        <v>42203.1020833333</v>
      </c>
      <c r="U328" s="2" t="str">
        <f aca="false">IF(AND(ISNUMBER(VALUE(MID(A328,7,1))),ISNUMBER(SEARCH("km",A328)),ISNUMBER(SEARCH("of",A328))),"Distance-location","Named-region")</f>
        <v>Named-region</v>
      </c>
      <c r="V328" s="2" t="str">
        <f aca="false">LOWER(M328)</f>
        <v>mww</v>
      </c>
      <c r="W328" s="5" t="str">
        <f aca="false">IF(COUNTIFS($A$2:$A$1001,A328,$C$2:$C$1001,C328)&gt;1,"Duplicate","Unique")</f>
        <v>Unique</v>
      </c>
    </row>
    <row r="329" customFormat="false" ht="15" hidden="false" customHeight="false" outlineLevel="0" collapsed="false">
      <c r="A329" s="2" t="s">
        <v>936</v>
      </c>
      <c r="B329" s="3" t="n">
        <v>6.5</v>
      </c>
      <c r="C329" s="2" t="s">
        <v>937</v>
      </c>
      <c r="D329" s="2" t="n">
        <v>4</v>
      </c>
      <c r="E329" s="2" t="n">
        <v>4</v>
      </c>
      <c r="F329" s="2" t="s">
        <v>25</v>
      </c>
      <c r="G329" s="2" t="n">
        <v>1</v>
      </c>
      <c r="H329" s="2" t="n">
        <v>686</v>
      </c>
      <c r="I329" s="2" t="s">
        <v>26</v>
      </c>
      <c r="J329" s="2" t="n">
        <v>0</v>
      </c>
      <c r="K329" s="2" t="n">
        <v>1.218</v>
      </c>
      <c r="L329" s="2" t="n">
        <v>20</v>
      </c>
      <c r="M329" s="2" t="s">
        <v>27</v>
      </c>
      <c r="N329" s="3" t="n">
        <v>20</v>
      </c>
      <c r="O329" s="3" t="n">
        <v>13.8672</v>
      </c>
      <c r="P329" s="3" t="n">
        <v>-58.5479</v>
      </c>
      <c r="Q329" s="3" t="s">
        <v>938</v>
      </c>
      <c r="R329" s="2"/>
      <c r="S329" s="2"/>
      <c r="T329" s="4" t="n">
        <f aca="false">DATE(VALUE(MID(C329,7,4)),VALUE(MID(C329,4,2)),VALUE(MID(C329,1,2)))+TIME(VALUE(MID(C329,12,2)),VALUE(MID(C329,15,2)),0)</f>
        <v>42201.6361111111</v>
      </c>
      <c r="U329" s="2" t="str">
        <f aca="false">IF(AND(ISNUMBER(VALUE(MID(A329,7,1))),ISNUMBER(SEARCH("km",A329)),ISNUMBER(SEARCH("of",A329))),"Distance-location","Named-region")</f>
        <v>Named-region</v>
      </c>
      <c r="V329" s="2" t="str">
        <f aca="false">LOWER(M329)</f>
        <v>mww</v>
      </c>
      <c r="W329" s="5" t="str">
        <f aca="false">IF(COUNTIFS($A$2:$A$1001,A329,$C$2:$C$1001,C329)&gt;1,"Duplicate","Unique")</f>
        <v>Unique</v>
      </c>
    </row>
    <row r="330" customFormat="false" ht="15" hidden="false" customHeight="false" outlineLevel="0" collapsed="false">
      <c r="A330" s="2" t="s">
        <v>939</v>
      </c>
      <c r="B330" s="3" t="n">
        <v>6.7</v>
      </c>
      <c r="C330" s="2" t="s">
        <v>940</v>
      </c>
      <c r="D330" s="2" t="n">
        <v>4</v>
      </c>
      <c r="E330" s="2" t="n">
        <v>5</v>
      </c>
      <c r="F330" s="2" t="s">
        <v>25</v>
      </c>
      <c r="G330" s="2" t="n">
        <v>1</v>
      </c>
      <c r="H330" s="2" t="n">
        <v>691</v>
      </c>
      <c r="I330" s="2" t="s">
        <v>26</v>
      </c>
      <c r="J330" s="2" t="n">
        <v>0</v>
      </c>
      <c r="K330" s="2" t="n">
        <v>1.529</v>
      </c>
      <c r="L330" s="2" t="n">
        <v>11</v>
      </c>
      <c r="M330" s="2" t="s">
        <v>27</v>
      </c>
      <c r="N330" s="3" t="n">
        <v>12</v>
      </c>
      <c r="O330" s="3" t="n">
        <v>-9.307</v>
      </c>
      <c r="P330" s="3" t="n">
        <v>158.403</v>
      </c>
      <c r="Q330" s="3" t="s">
        <v>142</v>
      </c>
      <c r="R330" s="2"/>
      <c r="S330" s="2" t="s">
        <v>144</v>
      </c>
      <c r="T330" s="4" t="n">
        <f aca="false">DATE(VALUE(MID(C330,7,4)),VALUE(MID(C330,4,2)),VALUE(MID(C330,1,2)))+TIME(VALUE(MID(C330,12,2)),VALUE(MID(C330,15,2)),0)</f>
        <v>42195.175</v>
      </c>
      <c r="U330" s="2" t="str">
        <f aca="false">IF(AND(ISNUMBER(VALUE(MID(A330,7,1))),ISNUMBER(SEARCH("km",A330)),ISNUMBER(SEARCH("of",A330))),"Distance-location","Named-region")</f>
        <v>Named-region</v>
      </c>
      <c r="V330" s="2" t="str">
        <f aca="false">LOWER(M330)</f>
        <v>mww</v>
      </c>
      <c r="W330" s="5" t="str">
        <f aca="false">IF(COUNTIFS($A$2:$A$1001,A330,$C$2:$C$1001,C330)&gt;1,"Duplicate","Unique")</f>
        <v>Unique</v>
      </c>
    </row>
    <row r="331" customFormat="false" ht="15" hidden="false" customHeight="false" outlineLevel="0" collapsed="false">
      <c r="A331" s="2" t="s">
        <v>941</v>
      </c>
      <c r="B331" s="3" t="n">
        <v>6.5</v>
      </c>
      <c r="C331" s="2" t="s">
        <v>942</v>
      </c>
      <c r="D331" s="2" t="n">
        <v>3</v>
      </c>
      <c r="E331" s="2" t="n">
        <v>4</v>
      </c>
      <c r="F331" s="2" t="s">
        <v>25</v>
      </c>
      <c r="G331" s="2" t="n">
        <v>0</v>
      </c>
      <c r="H331" s="2" t="n">
        <v>652</v>
      </c>
      <c r="I331" s="2" t="s">
        <v>26</v>
      </c>
      <c r="J331" s="2" t="n">
        <v>0</v>
      </c>
      <c r="K331" s="2" t="n">
        <v>2.277</v>
      </c>
      <c r="L331" s="2" t="n">
        <v>11</v>
      </c>
      <c r="M331" s="2" t="s">
        <v>27</v>
      </c>
      <c r="N331" s="3" t="n">
        <v>460</v>
      </c>
      <c r="O331" s="3" t="n">
        <v>27.7375</v>
      </c>
      <c r="P331" s="3" t="n">
        <v>139.725</v>
      </c>
      <c r="Q331" s="3" t="s">
        <v>943</v>
      </c>
      <c r="R331" s="2"/>
      <c r="S331" s="2"/>
      <c r="T331" s="4" t="n">
        <f aca="false">DATE(VALUE(MID(C331,7,4)),VALUE(MID(C331,4,2)),VALUE(MID(C331,1,2)))+TIME(VALUE(MID(C331,12,2)),VALUE(MID(C331,15,2)),0)</f>
        <v>42178.5125</v>
      </c>
      <c r="U331" s="2" t="str">
        <f aca="false">IF(AND(ISNUMBER(VALUE(MID(A331,7,1))),ISNUMBER(SEARCH("km",A331)),ISNUMBER(SEARCH("of",A331))),"Distance-location","Named-region")</f>
        <v>Named-region</v>
      </c>
      <c r="V331" s="2" t="str">
        <f aca="false">LOWER(M331)</f>
        <v>mww</v>
      </c>
      <c r="W331" s="5" t="str">
        <f aca="false">IF(COUNTIFS($A$2:$A$1001,A331,$C$2:$C$1001,C331)&gt;1,"Duplicate","Unique")</f>
        <v>Unique</v>
      </c>
    </row>
    <row r="332" customFormat="false" ht="15" hidden="false" customHeight="false" outlineLevel="0" collapsed="false">
      <c r="A332" s="2" t="s">
        <v>944</v>
      </c>
      <c r="B332" s="3" t="n">
        <v>7.8</v>
      </c>
      <c r="C332" s="2" t="s">
        <v>945</v>
      </c>
      <c r="D332" s="2" t="n">
        <v>6</v>
      </c>
      <c r="E332" s="2" t="n">
        <v>3</v>
      </c>
      <c r="F332" s="2" t="s">
        <v>25</v>
      </c>
      <c r="G332" s="2" t="n">
        <v>1</v>
      </c>
      <c r="H332" s="2" t="n">
        <v>1151</v>
      </c>
      <c r="I332" s="2" t="s">
        <v>26</v>
      </c>
      <c r="J332" s="2" t="n">
        <v>0</v>
      </c>
      <c r="K332" s="2" t="n">
        <v>1.675</v>
      </c>
      <c r="L332" s="2" t="n">
        <v>12</v>
      </c>
      <c r="M332" s="2" t="s">
        <v>27</v>
      </c>
      <c r="N332" s="3" t="n">
        <v>664</v>
      </c>
      <c r="O332" s="3" t="n">
        <v>27.8386</v>
      </c>
      <c r="P332" s="3" t="n">
        <v>140.493</v>
      </c>
      <c r="Q332" s="3" t="s">
        <v>943</v>
      </c>
      <c r="R332" s="2"/>
      <c r="S332" s="2"/>
      <c r="T332" s="4" t="n">
        <f aca="false">DATE(VALUE(MID(C332,7,4)),VALUE(MID(C332,4,2)),VALUE(MID(C332,1,2)))+TIME(VALUE(MID(C332,12,2)),VALUE(MID(C332,15,2)),0)</f>
        <v>42154.4743055556</v>
      </c>
      <c r="U332" s="2" t="str">
        <f aca="false">IF(AND(ISNUMBER(VALUE(MID(A332,7,1))),ISNUMBER(SEARCH("km",A332)),ISNUMBER(SEARCH("of",A332))),"Distance-location","Named-region")</f>
        <v>Named-region</v>
      </c>
      <c r="V332" s="2" t="str">
        <f aca="false">LOWER(M332)</f>
        <v>mww</v>
      </c>
      <c r="W332" s="5" t="str">
        <f aca="false">IF(COUNTIFS($A$2:$A$1001,A332,$C$2:$C$1001,C332)&gt;1,"Duplicate","Unique")</f>
        <v>Unique</v>
      </c>
    </row>
    <row r="333" customFormat="false" ht="15" hidden="false" customHeight="false" outlineLevel="0" collapsed="false">
      <c r="A333" s="2" t="s">
        <v>946</v>
      </c>
      <c r="B333" s="3" t="n">
        <v>6.8</v>
      </c>
      <c r="C333" s="2" t="s">
        <v>947</v>
      </c>
      <c r="D333" s="2" t="n">
        <v>5</v>
      </c>
      <c r="E333" s="2" t="n">
        <v>6</v>
      </c>
      <c r="F333" s="2" t="s">
        <v>25</v>
      </c>
      <c r="G333" s="2" t="n">
        <v>1</v>
      </c>
      <c r="H333" s="2" t="n">
        <v>762</v>
      </c>
      <c r="I333" s="2" t="s">
        <v>263</v>
      </c>
      <c r="J333" s="2" t="n">
        <v>0</v>
      </c>
      <c r="K333" s="2" t="n">
        <v>0</v>
      </c>
      <c r="L333" s="2" t="n">
        <v>0</v>
      </c>
      <c r="M333" s="2" t="s">
        <v>489</v>
      </c>
      <c r="N333" s="3" t="n">
        <v>72.6</v>
      </c>
      <c r="O333" s="3" t="n">
        <v>56.594</v>
      </c>
      <c r="P333" s="3" t="n">
        <v>-156.43</v>
      </c>
      <c r="Q333" s="3" t="s">
        <v>948</v>
      </c>
      <c r="R333" s="2"/>
      <c r="S333" s="2"/>
      <c r="T333" s="4" t="n">
        <f aca="false">DATE(VALUE(MID(C333,7,4)),VALUE(MID(C333,4,2)),VALUE(MID(C333,1,2)))+TIME(VALUE(MID(C333,12,2)),VALUE(MID(C333,15,2)),0)</f>
        <v>42153.2916666667</v>
      </c>
      <c r="U333" s="2" t="str">
        <f aca="false">IF(AND(ISNUMBER(VALUE(MID(A333,7,1))),ISNUMBER(SEARCH("km",A333)),ISNUMBER(SEARCH("of",A333))),"Distance-location","Named-region")</f>
        <v>Named-region</v>
      </c>
      <c r="V333" s="2" t="str">
        <f aca="false">LOWER(M333)</f>
        <v>mw</v>
      </c>
      <c r="W333" s="5" t="str">
        <f aca="false">IF(COUNTIFS($A$2:$A$1001,A333,$C$2:$C$1001,C333)&gt;1,"Duplicate","Unique")</f>
        <v>Unique</v>
      </c>
    </row>
    <row r="334" customFormat="false" ht="15" hidden="false" customHeight="false" outlineLevel="0" collapsed="false">
      <c r="A334" s="2" t="s">
        <v>949</v>
      </c>
      <c r="B334" s="3" t="n">
        <v>6.8</v>
      </c>
      <c r="C334" s="2" t="s">
        <v>950</v>
      </c>
      <c r="D334" s="2" t="n">
        <v>1</v>
      </c>
      <c r="E334" s="2" t="n">
        <v>5</v>
      </c>
      <c r="F334" s="2" t="s">
        <v>25</v>
      </c>
      <c r="G334" s="2" t="n">
        <v>1</v>
      </c>
      <c r="H334" s="2" t="n">
        <v>711</v>
      </c>
      <c r="I334" s="2" t="s">
        <v>26</v>
      </c>
      <c r="J334" s="2" t="n">
        <v>0</v>
      </c>
      <c r="K334" s="2" t="n">
        <v>3.619</v>
      </c>
      <c r="L334" s="2" t="n">
        <v>18</v>
      </c>
      <c r="M334" s="2" t="s">
        <v>27</v>
      </c>
      <c r="N334" s="3" t="n">
        <v>10</v>
      </c>
      <c r="O334" s="3" t="n">
        <v>-11.1093</v>
      </c>
      <c r="P334" s="3" t="n">
        <v>163.215</v>
      </c>
      <c r="Q334" s="3" t="s">
        <v>585</v>
      </c>
      <c r="R334" s="2"/>
      <c r="S334" s="2"/>
      <c r="T334" s="4" t="n">
        <f aca="false">DATE(VALUE(MID(C334,7,4)),VALUE(MID(C334,4,2)),VALUE(MID(C334,1,2)))+TIME(VALUE(MID(C334,12,2)),VALUE(MID(C334,15,2)),0)</f>
        <v>42146.9993055556</v>
      </c>
      <c r="U334" s="2" t="str">
        <f aca="false">IF(AND(ISNUMBER(VALUE(MID(A334,7,1))),ISNUMBER(SEARCH("km",A334)),ISNUMBER(SEARCH("of",A334))),"Distance-location","Named-region")</f>
        <v>Named-region</v>
      </c>
      <c r="V334" s="2" t="str">
        <f aca="false">LOWER(M334)</f>
        <v>mww</v>
      </c>
      <c r="W334" s="5" t="str">
        <f aca="false">IF(COUNTIFS($A$2:$A$1001,A334,$C$2:$C$1001,C334)&gt;1,"Duplicate","Unique")</f>
        <v>Unique</v>
      </c>
    </row>
    <row r="335" customFormat="false" ht="15" hidden="false" customHeight="false" outlineLevel="0" collapsed="false">
      <c r="A335" s="2" t="s">
        <v>951</v>
      </c>
      <c r="B335" s="3" t="n">
        <v>6.9</v>
      </c>
      <c r="C335" s="2" t="s">
        <v>952</v>
      </c>
      <c r="D335" s="2" t="n">
        <v>1</v>
      </c>
      <c r="E335" s="2" t="n">
        <v>4</v>
      </c>
      <c r="F335" s="2" t="s">
        <v>25</v>
      </c>
      <c r="G335" s="2" t="n">
        <v>1</v>
      </c>
      <c r="H335" s="2" t="n">
        <v>732</v>
      </c>
      <c r="I335" s="2" t="s">
        <v>26</v>
      </c>
      <c r="J335" s="2" t="n">
        <v>0</v>
      </c>
      <c r="K335" s="2" t="n">
        <v>4.024</v>
      </c>
      <c r="L335" s="2" t="n">
        <v>22</v>
      </c>
      <c r="M335" s="2" t="s">
        <v>27</v>
      </c>
      <c r="N335" s="3" t="n">
        <v>11.19</v>
      </c>
      <c r="O335" s="3" t="n">
        <v>-11.0559</v>
      </c>
      <c r="P335" s="3" t="n">
        <v>163.696</v>
      </c>
      <c r="Q335" s="3" t="s">
        <v>585</v>
      </c>
      <c r="R335" s="2"/>
      <c r="S335" s="2"/>
      <c r="T335" s="4" t="n">
        <f aca="false">DATE(VALUE(MID(C335,7,4)),VALUE(MID(C335,4,2)),VALUE(MID(C335,1,2)))+TIME(VALUE(MID(C335,12,2)),VALUE(MID(C335,15,2)),0)</f>
        <v>42146.90625</v>
      </c>
      <c r="U335" s="2" t="str">
        <f aca="false">IF(AND(ISNUMBER(VALUE(MID(A335,7,1))),ISNUMBER(SEARCH("km",A335)),ISNUMBER(SEARCH("of",A335))),"Distance-location","Named-region")</f>
        <v>Named-region</v>
      </c>
      <c r="V335" s="2" t="str">
        <f aca="false">LOWER(M335)</f>
        <v>mww</v>
      </c>
      <c r="W335" s="5" t="str">
        <f aca="false">IF(COUNTIFS($A$2:$A$1001,A335,$C$2:$C$1001,C335)&gt;1,"Duplicate","Unique")</f>
        <v>Unique</v>
      </c>
    </row>
    <row r="336" customFormat="false" ht="15" hidden="false" customHeight="false" outlineLevel="0" collapsed="false">
      <c r="A336" s="2" t="s">
        <v>953</v>
      </c>
      <c r="B336" s="3" t="n">
        <v>6.8</v>
      </c>
      <c r="C336" s="2" t="s">
        <v>954</v>
      </c>
      <c r="D336" s="2" t="n">
        <v>1</v>
      </c>
      <c r="E336" s="2" t="n">
        <v>4</v>
      </c>
      <c r="F336" s="2" t="s">
        <v>25</v>
      </c>
      <c r="G336" s="2" t="n">
        <v>1</v>
      </c>
      <c r="H336" s="2" t="n">
        <v>711</v>
      </c>
      <c r="I336" s="2" t="s">
        <v>26</v>
      </c>
      <c r="J336" s="2" t="n">
        <v>0</v>
      </c>
      <c r="K336" s="2" t="n">
        <v>4.395</v>
      </c>
      <c r="L336" s="2" t="n">
        <v>15</v>
      </c>
      <c r="M336" s="2" t="s">
        <v>27</v>
      </c>
      <c r="N336" s="3" t="n">
        <v>11</v>
      </c>
      <c r="O336" s="3" t="n">
        <v>-10.8759</v>
      </c>
      <c r="P336" s="3" t="n">
        <v>164.169</v>
      </c>
      <c r="Q336" s="3" t="s">
        <v>416</v>
      </c>
      <c r="R336" s="2"/>
      <c r="S336" s="2"/>
      <c r="T336" s="4" t="n">
        <f aca="false">DATE(VALUE(MID(C336,7,4)),VALUE(MID(C336,4,2)),VALUE(MID(C336,1,2)))+TIME(VALUE(MID(C336,12,2)),VALUE(MID(C336,15,2)),0)</f>
        <v>42144.95</v>
      </c>
      <c r="U336" s="2" t="str">
        <f aca="false">IF(AND(ISNUMBER(VALUE(MID(A336,7,1))),ISNUMBER(SEARCH("km",A336)),ISNUMBER(SEARCH("of",A336))),"Distance-location","Named-region")</f>
        <v>Named-region</v>
      </c>
      <c r="V336" s="2" t="str">
        <f aca="false">LOWER(M336)</f>
        <v>mww</v>
      </c>
      <c r="W336" s="5" t="str">
        <f aca="false">IF(COUNTIFS($A$2:$A$1001,A336,$C$2:$C$1001,C336)&gt;1,"Duplicate","Unique")</f>
        <v>Unique</v>
      </c>
    </row>
    <row r="337" customFormat="false" ht="15" hidden="false" customHeight="false" outlineLevel="0" collapsed="false">
      <c r="A337" s="2" t="s">
        <v>955</v>
      </c>
      <c r="B337" s="3" t="n">
        <v>6.8</v>
      </c>
      <c r="C337" s="2" t="s">
        <v>956</v>
      </c>
      <c r="D337" s="2" t="n">
        <v>8</v>
      </c>
      <c r="E337" s="2" t="n">
        <v>6</v>
      </c>
      <c r="F337" s="2" t="s">
        <v>25</v>
      </c>
      <c r="G337" s="2" t="n">
        <v>1</v>
      </c>
      <c r="H337" s="2" t="n">
        <v>831</v>
      </c>
      <c r="I337" s="2" t="s">
        <v>26</v>
      </c>
      <c r="J337" s="2" t="n">
        <v>0</v>
      </c>
      <c r="K337" s="2" t="n">
        <v>1.422</v>
      </c>
      <c r="L337" s="2" t="n">
        <v>8</v>
      </c>
      <c r="M337" s="2" t="s">
        <v>27</v>
      </c>
      <c r="N337" s="3" t="n">
        <v>35</v>
      </c>
      <c r="O337" s="3" t="n">
        <v>38.9056</v>
      </c>
      <c r="P337" s="3" t="n">
        <v>142.032</v>
      </c>
      <c r="Q337" s="3" t="s">
        <v>957</v>
      </c>
      <c r="R337" s="2" t="s">
        <v>84</v>
      </c>
      <c r="S337" s="2" t="s">
        <v>326</v>
      </c>
      <c r="T337" s="4" t="n">
        <f aca="false">DATE(VALUE(MID(C337,7,4)),VALUE(MID(C337,4,2)),VALUE(MID(C337,1,2)))+TIME(VALUE(MID(C337,12,2)),VALUE(MID(C337,15,2)),0)</f>
        <v>42136.8833333333</v>
      </c>
      <c r="U337" s="2" t="str">
        <f aca="false">IF(AND(ISNUMBER(VALUE(MID(A337,7,1))),ISNUMBER(SEARCH("km",A337)),ISNUMBER(SEARCH("of",A337))),"Distance-location","Named-region")</f>
        <v>Named-region</v>
      </c>
      <c r="V337" s="2" t="str">
        <f aca="false">LOWER(M337)</f>
        <v>mww</v>
      </c>
      <c r="W337" s="5" t="str">
        <f aca="false">IF(COUNTIFS($A$2:$A$1001,A337,$C$2:$C$1001,C337)&gt;1,"Duplicate","Unique")</f>
        <v>Unique</v>
      </c>
    </row>
    <row r="338" customFormat="false" ht="15" hidden="false" customHeight="false" outlineLevel="0" collapsed="false">
      <c r="A338" s="2" t="s">
        <v>958</v>
      </c>
      <c r="B338" s="3" t="n">
        <v>7.3</v>
      </c>
      <c r="C338" s="2" t="s">
        <v>959</v>
      </c>
      <c r="D338" s="2" t="n">
        <v>8</v>
      </c>
      <c r="E338" s="2" t="n">
        <v>7</v>
      </c>
      <c r="F338" s="2" t="s">
        <v>99</v>
      </c>
      <c r="G338" s="2" t="n">
        <v>0</v>
      </c>
      <c r="H338" s="2" t="n">
        <v>1563</v>
      </c>
      <c r="I338" s="2" t="s">
        <v>26</v>
      </c>
      <c r="J338" s="2" t="n">
        <v>0</v>
      </c>
      <c r="K338" s="2" t="n">
        <v>0.677</v>
      </c>
      <c r="L338" s="2" t="n">
        <v>11</v>
      </c>
      <c r="M338" s="2" t="s">
        <v>27</v>
      </c>
      <c r="N338" s="3" t="n">
        <v>15</v>
      </c>
      <c r="O338" s="3" t="n">
        <v>27.8087</v>
      </c>
      <c r="P338" s="3" t="n">
        <v>86.0655</v>
      </c>
      <c r="Q338" s="3" t="s">
        <v>960</v>
      </c>
      <c r="R338" s="2" t="s">
        <v>84</v>
      </c>
      <c r="S338" s="2" t="s">
        <v>960</v>
      </c>
      <c r="T338" s="4" t="n">
        <f aca="false">DATE(VALUE(MID(C338,7,4)),VALUE(MID(C338,4,2)),VALUE(MID(C338,1,2)))+TIME(VALUE(MID(C338,12,2)),VALUE(MID(C338,15,2)),0)</f>
        <v>42136.2951388889</v>
      </c>
      <c r="U338" s="2" t="str">
        <f aca="false">IF(AND(ISNUMBER(VALUE(MID(A338,7,1))),ISNUMBER(SEARCH("km",A338)),ISNUMBER(SEARCH("of",A338))),"Distance-location","Named-region")</f>
        <v>Named-region</v>
      </c>
      <c r="V338" s="2" t="str">
        <f aca="false">LOWER(M338)</f>
        <v>mww</v>
      </c>
      <c r="W338" s="5" t="str">
        <f aca="false">IF(COUNTIFS($A$2:$A$1001,A338,$C$2:$C$1001,C338)&gt;1,"Duplicate","Unique")</f>
        <v>Unique</v>
      </c>
    </row>
    <row r="339" customFormat="false" ht="15" hidden="false" customHeight="false" outlineLevel="0" collapsed="false">
      <c r="A339" s="2" t="s">
        <v>961</v>
      </c>
      <c r="B339" s="3" t="n">
        <v>7.1</v>
      </c>
      <c r="C339" s="2" t="s">
        <v>962</v>
      </c>
      <c r="D339" s="2" t="n">
        <v>1</v>
      </c>
      <c r="E339" s="2" t="n">
        <v>6</v>
      </c>
      <c r="F339" s="2" t="s">
        <v>25</v>
      </c>
      <c r="G339" s="2" t="n">
        <v>1</v>
      </c>
      <c r="H339" s="2" t="n">
        <v>776</v>
      </c>
      <c r="I339" s="2" t="s">
        <v>26</v>
      </c>
      <c r="J339" s="2" t="n">
        <v>0</v>
      </c>
      <c r="K339" s="2" t="n">
        <v>3.835</v>
      </c>
      <c r="L339" s="2" t="n">
        <v>11</v>
      </c>
      <c r="M339" s="2" t="s">
        <v>27</v>
      </c>
      <c r="N339" s="3" t="n">
        <v>10</v>
      </c>
      <c r="O339" s="3" t="n">
        <v>-7.2175</v>
      </c>
      <c r="P339" s="3" t="n">
        <v>154.557</v>
      </c>
      <c r="Q339" s="3" t="s">
        <v>740</v>
      </c>
      <c r="R339" s="2"/>
      <c r="S339" s="2"/>
      <c r="T339" s="4" t="n">
        <f aca="false">DATE(VALUE(MID(C339,7,4)),VALUE(MID(C339,4,2)),VALUE(MID(C339,1,2)))+TIME(VALUE(MID(C339,12,2)),VALUE(MID(C339,15,2)),0)</f>
        <v>42131.2986111111</v>
      </c>
      <c r="U339" s="2" t="str">
        <f aca="false">IF(AND(ISNUMBER(VALUE(MID(A339,7,1))),ISNUMBER(SEARCH("km",A339)),ISNUMBER(SEARCH("of",A339))),"Distance-location","Named-region")</f>
        <v>Named-region</v>
      </c>
      <c r="V339" s="2" t="str">
        <f aca="false">LOWER(M339)</f>
        <v>mww</v>
      </c>
      <c r="W339" s="5" t="str">
        <f aca="false">IF(COUNTIFS($A$2:$A$1001,A339,$C$2:$C$1001,C339)&gt;1,"Duplicate","Unique")</f>
        <v>Unique</v>
      </c>
    </row>
    <row r="340" customFormat="false" ht="15" hidden="false" customHeight="false" outlineLevel="0" collapsed="false">
      <c r="A340" s="2" t="s">
        <v>963</v>
      </c>
      <c r="B340" s="3" t="n">
        <v>7.5</v>
      </c>
      <c r="C340" s="2" t="s">
        <v>964</v>
      </c>
      <c r="D340" s="2" t="n">
        <v>7</v>
      </c>
      <c r="E340" s="2" t="n">
        <v>8</v>
      </c>
      <c r="F340" s="2" t="s">
        <v>25</v>
      </c>
      <c r="G340" s="2" t="n">
        <v>1</v>
      </c>
      <c r="H340" s="2" t="n">
        <v>869</v>
      </c>
      <c r="I340" s="2" t="s">
        <v>26</v>
      </c>
      <c r="J340" s="2" t="n">
        <v>0</v>
      </c>
      <c r="K340" s="2" t="n">
        <v>1.295</v>
      </c>
      <c r="L340" s="2" t="n">
        <v>22</v>
      </c>
      <c r="M340" s="2" t="s">
        <v>27</v>
      </c>
      <c r="N340" s="3" t="n">
        <v>55</v>
      </c>
      <c r="O340" s="3" t="n">
        <v>-5.4624</v>
      </c>
      <c r="P340" s="3" t="n">
        <v>151.875</v>
      </c>
      <c r="Q340" s="3" t="s">
        <v>629</v>
      </c>
      <c r="R340" s="2"/>
      <c r="S340" s="2" t="s">
        <v>89</v>
      </c>
      <c r="T340" s="4" t="n">
        <f aca="false">DATE(VALUE(MID(C340,7,4)),VALUE(MID(C340,4,2)),VALUE(MID(C340,1,2)))+TIME(VALUE(MID(C340,12,2)),VALUE(MID(C340,15,2)),0)</f>
        <v>42129.0722222222</v>
      </c>
      <c r="U340" s="2" t="str">
        <f aca="false">IF(AND(ISNUMBER(VALUE(MID(A340,7,1))),ISNUMBER(SEARCH("km",A340)),ISNUMBER(SEARCH("of",A340))),"Distance-location","Named-region")</f>
        <v>Named-region</v>
      </c>
      <c r="V340" s="2" t="str">
        <f aca="false">LOWER(M340)</f>
        <v>mww</v>
      </c>
      <c r="W340" s="5" t="str">
        <f aca="false">IF(COUNTIFS($A$2:$A$1001,A340,$C$2:$C$1001,C340)&gt;1,"Duplicate","Unique")</f>
        <v>Unique</v>
      </c>
    </row>
    <row r="341" customFormat="false" ht="15" hidden="false" customHeight="false" outlineLevel="0" collapsed="false">
      <c r="A341" s="2" t="s">
        <v>965</v>
      </c>
      <c r="B341" s="3" t="n">
        <v>6.8</v>
      </c>
      <c r="C341" s="2" t="s">
        <v>966</v>
      </c>
      <c r="D341" s="2" t="n">
        <v>5</v>
      </c>
      <c r="E341" s="2" t="n">
        <v>6</v>
      </c>
      <c r="F341" s="2" t="s">
        <v>25</v>
      </c>
      <c r="G341" s="2" t="n">
        <v>1</v>
      </c>
      <c r="H341" s="2" t="n">
        <v>714</v>
      </c>
      <c r="I341" s="2" t="s">
        <v>26</v>
      </c>
      <c r="J341" s="2" t="n">
        <v>0</v>
      </c>
      <c r="K341" s="2" t="n">
        <v>1.074</v>
      </c>
      <c r="L341" s="2" t="n">
        <v>23</v>
      </c>
      <c r="M341" s="2" t="s">
        <v>27</v>
      </c>
      <c r="N341" s="3" t="n">
        <v>44</v>
      </c>
      <c r="O341" s="3" t="n">
        <v>-5.2005</v>
      </c>
      <c r="P341" s="3" t="n">
        <v>151.777</v>
      </c>
      <c r="Q341" s="3" t="s">
        <v>629</v>
      </c>
      <c r="R341" s="2"/>
      <c r="S341" s="2" t="s">
        <v>89</v>
      </c>
      <c r="T341" s="4" t="n">
        <f aca="false">DATE(VALUE(MID(C341,7,4)),VALUE(MID(C341,4,2)),VALUE(MID(C341,1,2)))+TIME(VALUE(MID(C341,12,2)),VALUE(MID(C341,15,2)),0)</f>
        <v>42125.3375</v>
      </c>
      <c r="U341" s="2" t="str">
        <f aca="false">IF(AND(ISNUMBER(VALUE(MID(A341,7,1))),ISNUMBER(SEARCH("km",A341)),ISNUMBER(SEARCH("of",A341))),"Distance-location","Named-region")</f>
        <v>Named-region</v>
      </c>
      <c r="V341" s="2" t="str">
        <f aca="false">LOWER(M341)</f>
        <v>mww</v>
      </c>
      <c r="W341" s="5" t="str">
        <f aca="false">IF(COUNTIFS($A$2:$A$1001,A341,$C$2:$C$1001,C341)&gt;1,"Duplicate","Unique")</f>
        <v>Unique</v>
      </c>
    </row>
    <row r="342" customFormat="false" ht="15" hidden="false" customHeight="false" outlineLevel="0" collapsed="false">
      <c r="A342" s="2" t="s">
        <v>967</v>
      </c>
      <c r="B342" s="3" t="n">
        <v>6.7</v>
      </c>
      <c r="C342" s="2" t="s">
        <v>968</v>
      </c>
      <c r="D342" s="2" t="n">
        <v>5</v>
      </c>
      <c r="E342" s="2" t="n">
        <v>6</v>
      </c>
      <c r="F342" s="2" t="s">
        <v>25</v>
      </c>
      <c r="G342" s="2" t="n">
        <v>1</v>
      </c>
      <c r="H342" s="2" t="n">
        <v>692</v>
      </c>
      <c r="I342" s="2" t="s">
        <v>26</v>
      </c>
      <c r="J342" s="2" t="n">
        <v>0</v>
      </c>
      <c r="K342" s="2" t="n">
        <v>1.239</v>
      </c>
      <c r="L342" s="2" t="n">
        <v>12</v>
      </c>
      <c r="M342" s="2" t="s">
        <v>27</v>
      </c>
      <c r="N342" s="3" t="n">
        <v>31</v>
      </c>
      <c r="O342" s="3" t="n">
        <v>-5.375</v>
      </c>
      <c r="P342" s="3" t="n">
        <v>151.771</v>
      </c>
      <c r="Q342" s="3" t="s">
        <v>629</v>
      </c>
      <c r="R342" s="2"/>
      <c r="S342" s="2" t="s">
        <v>89</v>
      </c>
      <c r="T342" s="4" t="n">
        <f aca="false">DATE(VALUE(MID(C342,7,4)),VALUE(MID(C342,4,2)),VALUE(MID(C342,1,2)))+TIME(VALUE(MID(C342,12,2)),VALUE(MID(C342,15,2)),0)</f>
        <v>42124.4479166667</v>
      </c>
      <c r="U342" s="2" t="str">
        <f aca="false">IF(AND(ISNUMBER(VALUE(MID(A342,7,1))),ISNUMBER(SEARCH("km",A342)),ISNUMBER(SEARCH("of",A342))),"Distance-location","Named-region")</f>
        <v>Named-region</v>
      </c>
      <c r="V342" s="2" t="str">
        <f aca="false">LOWER(M342)</f>
        <v>mww</v>
      </c>
      <c r="W342" s="5" t="str">
        <f aca="false">IF(COUNTIFS($A$2:$A$1001,A342,$C$2:$C$1001,C342)&gt;1,"Duplicate","Unique")</f>
        <v>Unique</v>
      </c>
    </row>
    <row r="343" customFormat="false" ht="15" hidden="false" customHeight="false" outlineLevel="0" collapsed="false">
      <c r="A343" s="2" t="s">
        <v>969</v>
      </c>
      <c r="B343" s="3" t="n">
        <v>6.7</v>
      </c>
      <c r="C343" s="2" t="s">
        <v>970</v>
      </c>
      <c r="D343" s="2" t="n">
        <v>7</v>
      </c>
      <c r="E343" s="2" t="n">
        <v>7</v>
      </c>
      <c r="F343" s="2" t="s">
        <v>32</v>
      </c>
      <c r="G343" s="2" t="n">
        <v>0</v>
      </c>
      <c r="H343" s="2" t="n">
        <v>1016</v>
      </c>
      <c r="I343" s="2" t="s">
        <v>26</v>
      </c>
      <c r="J343" s="2" t="n">
        <v>0</v>
      </c>
      <c r="K343" s="2" t="n">
        <v>0.727</v>
      </c>
      <c r="L343" s="2" t="n">
        <v>13</v>
      </c>
      <c r="M343" s="2" t="s">
        <v>27</v>
      </c>
      <c r="N343" s="3" t="n">
        <v>22.91</v>
      </c>
      <c r="O343" s="3" t="n">
        <v>27.7711</v>
      </c>
      <c r="P343" s="3" t="n">
        <v>86.0173</v>
      </c>
      <c r="Q343" s="3" t="s">
        <v>971</v>
      </c>
      <c r="R343" s="2" t="s">
        <v>84</v>
      </c>
      <c r="S343" s="2" t="s">
        <v>960</v>
      </c>
      <c r="T343" s="4" t="n">
        <f aca="false">DATE(VALUE(MID(C343,7,4)),VALUE(MID(C343,4,2)),VALUE(MID(C343,1,2)))+TIME(VALUE(MID(C343,12,2)),VALUE(MID(C343,15,2)),0)</f>
        <v>42120.2979166667</v>
      </c>
      <c r="U343" s="2" t="str">
        <f aca="false">IF(AND(ISNUMBER(VALUE(MID(A343,7,1))),ISNUMBER(SEARCH("km",A343)),ISNUMBER(SEARCH("of",A343))),"Distance-location","Named-region")</f>
        <v>Named-region</v>
      </c>
      <c r="V343" s="2" t="str">
        <f aca="false">LOWER(M343)</f>
        <v>mww</v>
      </c>
      <c r="W343" s="5" t="str">
        <f aca="false">IF(COUNTIFS($A$2:$A$1001,A343,$C$2:$C$1001,C343)&gt;1,"Duplicate","Unique")</f>
        <v>Unique</v>
      </c>
    </row>
    <row r="344" customFormat="false" ht="15" hidden="false" customHeight="false" outlineLevel="0" collapsed="false">
      <c r="A344" s="2" t="s">
        <v>972</v>
      </c>
      <c r="B344" s="3" t="n">
        <v>6.6</v>
      </c>
      <c r="C344" s="2" t="s">
        <v>973</v>
      </c>
      <c r="D344" s="2" t="n">
        <v>8</v>
      </c>
      <c r="E344" s="2" t="n">
        <v>7</v>
      </c>
      <c r="F344" s="2" t="s">
        <v>32</v>
      </c>
      <c r="G344" s="2" t="n">
        <v>0</v>
      </c>
      <c r="H344" s="2" t="n">
        <v>733</v>
      </c>
      <c r="I344" s="2" t="s">
        <v>26</v>
      </c>
      <c r="J344" s="2" t="n">
        <v>0</v>
      </c>
      <c r="K344" s="2" t="n">
        <v>1.778</v>
      </c>
      <c r="L344" s="2" t="n">
        <v>16</v>
      </c>
      <c r="M344" s="2" t="s">
        <v>27</v>
      </c>
      <c r="N344" s="3" t="n">
        <v>10</v>
      </c>
      <c r="O344" s="3" t="n">
        <v>28.2244</v>
      </c>
      <c r="P344" s="3" t="n">
        <v>84.8216</v>
      </c>
      <c r="Q344" s="3" t="s">
        <v>974</v>
      </c>
      <c r="R344" s="2" t="s">
        <v>84</v>
      </c>
      <c r="S344" s="2" t="s">
        <v>960</v>
      </c>
      <c r="T344" s="4" t="n">
        <f aca="false">DATE(VALUE(MID(C344,7,4)),VALUE(MID(C344,4,2)),VALUE(MID(C344,1,2)))+TIME(VALUE(MID(C344,12,2)),VALUE(MID(C344,15,2)),0)</f>
        <v>42119.28125</v>
      </c>
      <c r="U344" s="2" t="str">
        <f aca="false">IF(AND(ISNUMBER(VALUE(MID(A344,7,1))),ISNUMBER(SEARCH("km",A344)),ISNUMBER(SEARCH("of",A344))),"Distance-location","Named-region")</f>
        <v>Named-region</v>
      </c>
      <c r="V344" s="2" t="str">
        <f aca="false">LOWER(M344)</f>
        <v>mww</v>
      </c>
      <c r="W344" s="5" t="str">
        <f aca="false">IF(COUNTIFS($A$2:$A$1001,A344,$C$2:$C$1001,C344)&gt;1,"Duplicate","Unique")</f>
        <v>Unique</v>
      </c>
    </row>
    <row r="345" customFormat="false" ht="15" hidden="false" customHeight="false" outlineLevel="0" collapsed="false">
      <c r="A345" s="2" t="s">
        <v>975</v>
      </c>
      <c r="B345" s="3" t="n">
        <v>7.8</v>
      </c>
      <c r="C345" s="2" t="s">
        <v>976</v>
      </c>
      <c r="D345" s="2" t="n">
        <v>8</v>
      </c>
      <c r="E345" s="2" t="n">
        <v>9</v>
      </c>
      <c r="F345" s="2" t="s">
        <v>125</v>
      </c>
      <c r="G345" s="2" t="n">
        <v>0</v>
      </c>
      <c r="H345" s="2" t="n">
        <v>2820</v>
      </c>
      <c r="I345" s="2" t="s">
        <v>26</v>
      </c>
      <c r="J345" s="2" t="n">
        <v>0</v>
      </c>
      <c r="K345" s="2" t="n">
        <v>1.857</v>
      </c>
      <c r="L345" s="2" t="n">
        <v>12</v>
      </c>
      <c r="M345" s="2" t="s">
        <v>27</v>
      </c>
      <c r="N345" s="3" t="n">
        <v>8.22</v>
      </c>
      <c r="O345" s="3" t="n">
        <v>28.2305</v>
      </c>
      <c r="P345" s="3" t="n">
        <v>84.7314</v>
      </c>
      <c r="Q345" s="3" t="s">
        <v>974</v>
      </c>
      <c r="R345" s="2" t="s">
        <v>84</v>
      </c>
      <c r="S345" s="2" t="s">
        <v>960</v>
      </c>
      <c r="T345" s="4" t="n">
        <f aca="false">DATE(VALUE(MID(C345,7,4)),VALUE(MID(C345,4,2)),VALUE(MID(C345,1,2)))+TIME(VALUE(MID(C345,12,2)),VALUE(MID(C345,15,2)),0)</f>
        <v>42119.2576388889</v>
      </c>
      <c r="U345" s="2" t="str">
        <f aca="false">IF(AND(ISNUMBER(VALUE(MID(A345,7,1))),ISNUMBER(SEARCH("km",A345)),ISNUMBER(SEARCH("of",A345))),"Distance-location","Named-region")</f>
        <v>Named-region</v>
      </c>
      <c r="V345" s="2" t="str">
        <f aca="false">LOWER(M345)</f>
        <v>mww</v>
      </c>
      <c r="W345" s="5" t="str">
        <f aca="false">IF(COUNTIFS($A$2:$A$1001,A345,$C$2:$C$1001,C345)&gt;1,"Duplicate","Unique")</f>
        <v>Unique</v>
      </c>
    </row>
    <row r="346" customFormat="false" ht="15" hidden="false" customHeight="false" outlineLevel="0" collapsed="false">
      <c r="A346" s="2" t="s">
        <v>977</v>
      </c>
      <c r="B346" s="3" t="n">
        <v>6.5</v>
      </c>
      <c r="C346" s="2" t="s">
        <v>978</v>
      </c>
      <c r="D346" s="2" t="n">
        <v>0</v>
      </c>
      <c r="E346" s="2" t="n">
        <v>5</v>
      </c>
      <c r="F346" s="2" t="s">
        <v>25</v>
      </c>
      <c r="G346" s="2" t="n">
        <v>1</v>
      </c>
      <c r="H346" s="2" t="n">
        <v>650</v>
      </c>
      <c r="I346" s="2" t="s">
        <v>26</v>
      </c>
      <c r="J346" s="2" t="n">
        <v>0</v>
      </c>
      <c r="K346" s="2" t="n">
        <v>3.702</v>
      </c>
      <c r="L346" s="2" t="n">
        <v>42</v>
      </c>
      <c r="M346" s="2" t="s">
        <v>27</v>
      </c>
      <c r="N346" s="3" t="n">
        <v>10</v>
      </c>
      <c r="O346" s="3" t="n">
        <v>-15.8815</v>
      </c>
      <c r="P346" s="3" t="n">
        <v>-178.6</v>
      </c>
      <c r="Q346" s="3" t="s">
        <v>315</v>
      </c>
      <c r="R346" s="2"/>
      <c r="S346" s="2"/>
      <c r="T346" s="4" t="n">
        <f aca="false">DATE(VALUE(MID(C346,7,4)),VALUE(MID(C346,4,2)),VALUE(MID(C346,1,2)))+TIME(VALUE(MID(C346,12,2)),VALUE(MID(C346,15,2)),0)</f>
        <v>42111.6611111111</v>
      </c>
      <c r="U346" s="2" t="str">
        <f aca="false">IF(AND(ISNUMBER(VALUE(MID(A346,7,1))),ISNUMBER(SEARCH("km",A346)),ISNUMBER(SEARCH("of",A346))),"Distance-location","Named-region")</f>
        <v>Named-region</v>
      </c>
      <c r="V346" s="2" t="str">
        <f aca="false">LOWER(M346)</f>
        <v>mww</v>
      </c>
      <c r="W346" s="5" t="str">
        <f aca="false">IF(COUNTIFS($A$2:$A$1001,A346,$C$2:$C$1001,C346)&gt;1,"Duplicate","Unique")</f>
        <v>Unique</v>
      </c>
    </row>
    <row r="347" customFormat="false" ht="15" hidden="false" customHeight="false" outlineLevel="0" collapsed="false">
      <c r="A347" s="2" t="s">
        <v>979</v>
      </c>
      <c r="B347" s="3" t="n">
        <v>6.5</v>
      </c>
      <c r="C347" s="2" t="s">
        <v>980</v>
      </c>
      <c r="D347" s="2" t="n">
        <v>2</v>
      </c>
      <c r="E347" s="2" t="n">
        <v>5</v>
      </c>
      <c r="F347" s="2" t="s">
        <v>25</v>
      </c>
      <c r="G347" s="2" t="n">
        <v>1</v>
      </c>
      <c r="H347" s="2" t="n">
        <v>650</v>
      </c>
      <c r="I347" s="2" t="s">
        <v>26</v>
      </c>
      <c r="J347" s="2" t="n">
        <v>0</v>
      </c>
      <c r="K347" s="2" t="n">
        <v>4.629</v>
      </c>
      <c r="L347" s="2" t="n">
        <v>36</v>
      </c>
      <c r="M347" s="2" t="s">
        <v>27</v>
      </c>
      <c r="N347" s="3" t="n">
        <v>11</v>
      </c>
      <c r="O347" s="3" t="n">
        <v>-15.4994</v>
      </c>
      <c r="P347" s="3" t="n">
        <v>-173.029</v>
      </c>
      <c r="Q347" s="3" t="s">
        <v>66</v>
      </c>
      <c r="R347" s="2"/>
      <c r="S347" s="2"/>
      <c r="T347" s="4" t="n">
        <f aca="false">DATE(VALUE(MID(C347,7,4)),VALUE(MID(C347,4,2)),VALUE(MID(C347,1,2)))+TIME(VALUE(MID(C347,12,2)),VALUE(MID(C347,15,2)),0)</f>
        <v>42093.3666666667</v>
      </c>
      <c r="U347" s="2" t="str">
        <f aca="false">IF(AND(ISNUMBER(VALUE(MID(A347,7,1))),ISNUMBER(SEARCH("km",A347)),ISNUMBER(SEARCH("of",A347))),"Distance-location","Named-region")</f>
        <v>Named-region</v>
      </c>
      <c r="V347" s="2" t="str">
        <f aca="false">LOWER(M347)</f>
        <v>mww</v>
      </c>
      <c r="W347" s="5" t="str">
        <f aca="false">IF(COUNTIFS($A$2:$A$1001,A347,$C$2:$C$1001,C347)&gt;1,"Duplicate","Unique")</f>
        <v>Unique</v>
      </c>
    </row>
    <row r="348" customFormat="false" ht="15" hidden="false" customHeight="false" outlineLevel="0" collapsed="false">
      <c r="A348" s="2" t="s">
        <v>981</v>
      </c>
      <c r="B348" s="3" t="n">
        <v>7.5</v>
      </c>
      <c r="C348" s="2" t="s">
        <v>982</v>
      </c>
      <c r="D348" s="2" t="n">
        <v>6</v>
      </c>
      <c r="E348" s="2" t="n">
        <v>7</v>
      </c>
      <c r="F348" s="2" t="s">
        <v>25</v>
      </c>
      <c r="G348" s="2" t="n">
        <v>1</v>
      </c>
      <c r="H348" s="2" t="n">
        <v>872</v>
      </c>
      <c r="I348" s="2" t="s">
        <v>26</v>
      </c>
      <c r="J348" s="2" t="n">
        <v>0</v>
      </c>
      <c r="K348" s="2" t="n">
        <v>0.666</v>
      </c>
      <c r="L348" s="2" t="n">
        <v>19</v>
      </c>
      <c r="M348" s="2" t="s">
        <v>27</v>
      </c>
      <c r="N348" s="3" t="n">
        <v>41</v>
      </c>
      <c r="O348" s="3" t="n">
        <v>-4.7294</v>
      </c>
      <c r="P348" s="3" t="n">
        <v>152.562</v>
      </c>
      <c r="Q348" s="3" t="s">
        <v>629</v>
      </c>
      <c r="R348" s="2"/>
      <c r="S348" s="2" t="s">
        <v>89</v>
      </c>
      <c r="T348" s="4" t="n">
        <f aca="false">DATE(VALUE(MID(C348,7,4)),VALUE(MID(C348,4,2)),VALUE(MID(C348,1,2)))+TIME(VALUE(MID(C348,12,2)),VALUE(MID(C348,15,2)),0)</f>
        <v>42092.9916666667</v>
      </c>
      <c r="U348" s="2" t="str">
        <f aca="false">IF(AND(ISNUMBER(VALUE(MID(A348,7,1))),ISNUMBER(SEARCH("km",A348)),ISNUMBER(SEARCH("of",A348))),"Distance-location","Named-region")</f>
        <v>Named-region</v>
      </c>
      <c r="V348" s="2" t="str">
        <f aca="false">LOWER(M348)</f>
        <v>mww</v>
      </c>
      <c r="W348" s="5" t="str">
        <f aca="false">IF(COUNTIFS($A$2:$A$1001,A348,$C$2:$C$1001,C348)&gt;1,"Duplicate","Unique")</f>
        <v>Unique</v>
      </c>
    </row>
    <row r="349" customFormat="false" ht="15" hidden="false" customHeight="false" outlineLevel="0" collapsed="false">
      <c r="A349" s="2" t="s">
        <v>983</v>
      </c>
      <c r="B349" s="3" t="n">
        <v>7</v>
      </c>
      <c r="C349" s="2" t="s">
        <v>984</v>
      </c>
      <c r="D349" s="2" t="n">
        <v>4</v>
      </c>
      <c r="E349" s="2" t="n">
        <v>6</v>
      </c>
      <c r="F349" s="2" t="s">
        <v>25</v>
      </c>
      <c r="G349" s="2" t="n">
        <v>0</v>
      </c>
      <c r="H349" s="2" t="n">
        <v>760</v>
      </c>
      <c r="I349" s="2" t="s">
        <v>26</v>
      </c>
      <c r="J349" s="2" t="n">
        <v>0</v>
      </c>
      <c r="K349" s="2" t="n">
        <v>1.362</v>
      </c>
      <c r="L349" s="2" t="n">
        <v>12</v>
      </c>
      <c r="M349" s="2" t="s">
        <v>27</v>
      </c>
      <c r="N349" s="3" t="n">
        <v>552.06</v>
      </c>
      <c r="O349" s="3" t="n">
        <v>-7.2968</v>
      </c>
      <c r="P349" s="3" t="n">
        <v>122.535</v>
      </c>
      <c r="Q349" s="3" t="s">
        <v>676</v>
      </c>
      <c r="R349" s="2"/>
      <c r="S349" s="2" t="s">
        <v>72</v>
      </c>
      <c r="T349" s="4" t="n">
        <f aca="false">DATE(VALUE(MID(C349,7,4)),VALUE(MID(C349,4,2)),VALUE(MID(C349,1,2)))+TIME(VALUE(MID(C349,12,2)),VALUE(MID(C349,15,2)),0)</f>
        <v>42062.5729166667</v>
      </c>
      <c r="U349" s="2" t="str">
        <f aca="false">IF(AND(ISNUMBER(VALUE(MID(A349,7,1))),ISNUMBER(SEARCH("km",A349)),ISNUMBER(SEARCH("of",A349))),"Distance-location","Named-region")</f>
        <v>Named-region</v>
      </c>
      <c r="V349" s="2" t="str">
        <f aca="false">LOWER(M349)</f>
        <v>mww</v>
      </c>
      <c r="W349" s="5" t="str">
        <f aca="false">IF(COUNTIFS($A$2:$A$1001,A349,$C$2:$C$1001,C349)&gt;1,"Duplicate","Unique")</f>
        <v>Unique</v>
      </c>
    </row>
    <row r="350" customFormat="false" ht="15" hidden="false" customHeight="false" outlineLevel="0" collapsed="false">
      <c r="A350" s="2" t="s">
        <v>985</v>
      </c>
      <c r="B350" s="3" t="n">
        <v>6.7</v>
      </c>
      <c r="C350" s="2" t="s">
        <v>986</v>
      </c>
      <c r="D350" s="2" t="n">
        <v>5</v>
      </c>
      <c r="E350" s="2" t="n">
        <v>5</v>
      </c>
      <c r="F350" s="2" t="s">
        <v>25</v>
      </c>
      <c r="G350" s="2" t="n">
        <v>1</v>
      </c>
      <c r="H350" s="2" t="n">
        <v>714</v>
      </c>
      <c r="I350" s="2" t="s">
        <v>26</v>
      </c>
      <c r="J350" s="2" t="n">
        <v>0</v>
      </c>
      <c r="K350" s="2" t="n">
        <v>1.925</v>
      </c>
      <c r="L350" s="2" t="n">
        <v>20</v>
      </c>
      <c r="M350" s="2" t="s">
        <v>27</v>
      </c>
      <c r="N350" s="3" t="n">
        <v>23</v>
      </c>
      <c r="O350" s="3" t="n">
        <v>39.8558</v>
      </c>
      <c r="P350" s="3" t="n">
        <v>142.881</v>
      </c>
      <c r="Q350" s="3" t="s">
        <v>987</v>
      </c>
      <c r="R350" s="2"/>
      <c r="S350" s="2"/>
      <c r="T350" s="4" t="n">
        <f aca="false">DATE(VALUE(MID(C350,7,4)),VALUE(MID(C350,4,2)),VALUE(MID(C350,1,2)))+TIME(VALUE(MID(C350,12,2)),VALUE(MID(C350,15,2)),0)</f>
        <v>42051.9625</v>
      </c>
      <c r="U350" s="2" t="str">
        <f aca="false">IF(AND(ISNUMBER(VALUE(MID(A350,7,1))),ISNUMBER(SEARCH("km",A350)),ISNUMBER(SEARCH("of",A350))),"Distance-location","Named-region")</f>
        <v>Named-region</v>
      </c>
      <c r="V350" s="2" t="str">
        <f aca="false">LOWER(M350)</f>
        <v>mww</v>
      </c>
      <c r="W350" s="5" t="str">
        <f aca="false">IF(COUNTIFS($A$2:$A$1001,A350,$C$2:$C$1001,C350)&gt;1,"Duplicate","Unique")</f>
        <v>Unique</v>
      </c>
    </row>
    <row r="351" customFormat="false" ht="15" hidden="false" customHeight="false" outlineLevel="0" collapsed="false">
      <c r="A351" s="2" t="s">
        <v>988</v>
      </c>
      <c r="B351" s="3" t="n">
        <v>6.7</v>
      </c>
      <c r="C351" s="2" t="s">
        <v>989</v>
      </c>
      <c r="D351" s="2" t="n">
        <v>4</v>
      </c>
      <c r="E351" s="2" t="n">
        <v>6</v>
      </c>
      <c r="F351" s="2" t="s">
        <v>25</v>
      </c>
      <c r="G351" s="2" t="n">
        <v>1</v>
      </c>
      <c r="H351" s="2" t="n">
        <v>700</v>
      </c>
      <c r="I351" s="2" t="s">
        <v>26</v>
      </c>
      <c r="J351" s="2" t="n">
        <v>0</v>
      </c>
      <c r="K351" s="2" t="n">
        <v>2.11</v>
      </c>
      <c r="L351" s="2" t="n">
        <v>16</v>
      </c>
      <c r="M351" s="2" t="s">
        <v>27</v>
      </c>
      <c r="N351" s="3" t="n">
        <v>223</v>
      </c>
      <c r="O351" s="3" t="n">
        <v>-23.1125</v>
      </c>
      <c r="P351" s="3" t="n">
        <v>-66.688</v>
      </c>
      <c r="Q351" s="3" t="s">
        <v>990</v>
      </c>
      <c r="R351" s="2" t="s">
        <v>37</v>
      </c>
      <c r="S351" s="2" t="s">
        <v>38</v>
      </c>
      <c r="T351" s="4" t="n">
        <f aca="false">DATE(VALUE(MID(C351,7,4)),VALUE(MID(C351,4,2)),VALUE(MID(C351,1,2)))+TIME(VALUE(MID(C351,12,2)),VALUE(MID(C351,15,2)),0)</f>
        <v>42046.7895833333</v>
      </c>
      <c r="U351" s="2" t="str">
        <f aca="false">IF(AND(ISNUMBER(VALUE(MID(A351,7,1))),ISNUMBER(SEARCH("km",A351)),ISNUMBER(SEARCH("of",A351))),"Distance-location","Named-region")</f>
        <v>Named-region</v>
      </c>
      <c r="V351" s="2" t="str">
        <f aca="false">LOWER(M351)</f>
        <v>mww</v>
      </c>
      <c r="W351" s="5" t="str">
        <f aca="false">IF(COUNTIFS($A$2:$A$1001,A351,$C$2:$C$1001,C351)&gt;1,"Duplicate","Unique")</f>
        <v>Unique</v>
      </c>
    </row>
    <row r="352" customFormat="false" ht="15" hidden="false" customHeight="false" outlineLevel="0" collapsed="false">
      <c r="A352" s="2" t="s">
        <v>991</v>
      </c>
      <c r="B352" s="3" t="n">
        <v>6.8</v>
      </c>
      <c r="C352" s="2" t="s">
        <v>992</v>
      </c>
      <c r="D352" s="2" t="n">
        <v>1</v>
      </c>
      <c r="E352" s="2" t="n">
        <v>4</v>
      </c>
      <c r="F352" s="2" t="s">
        <v>25</v>
      </c>
      <c r="G352" s="2" t="n">
        <v>1</v>
      </c>
      <c r="H352" s="2" t="n">
        <v>711</v>
      </c>
      <c r="I352" s="2" t="s">
        <v>26</v>
      </c>
      <c r="J352" s="2" t="n">
        <v>0</v>
      </c>
      <c r="K352" s="2" t="n">
        <v>2.019</v>
      </c>
      <c r="L352" s="2" t="n">
        <v>13</v>
      </c>
      <c r="M352" s="2" t="s">
        <v>27</v>
      </c>
      <c r="N352" s="3" t="n">
        <v>219.96</v>
      </c>
      <c r="O352" s="3" t="n">
        <v>-17.0309</v>
      </c>
      <c r="P352" s="3" t="n">
        <v>168.52</v>
      </c>
      <c r="Q352" s="3" t="s">
        <v>993</v>
      </c>
      <c r="R352" s="2"/>
      <c r="S352" s="2" t="s">
        <v>29</v>
      </c>
      <c r="T352" s="4" t="n">
        <f aca="false">DATE(VALUE(MID(C352,7,4)),VALUE(MID(C352,4,2)),VALUE(MID(C352,1,2)))+TIME(VALUE(MID(C352,12,2)),VALUE(MID(C352,15,2)),0)</f>
        <v>42027.1576388889</v>
      </c>
      <c r="U352" s="2" t="str">
        <f aca="false">IF(AND(ISNUMBER(VALUE(MID(A352,7,1))),ISNUMBER(SEARCH("km",A352)),ISNUMBER(SEARCH("of",A352))),"Distance-location","Named-region")</f>
        <v>Named-region</v>
      </c>
      <c r="V352" s="2" t="str">
        <f aca="false">LOWER(M352)</f>
        <v>mww</v>
      </c>
      <c r="W352" s="5" t="str">
        <f aca="false">IF(COUNTIFS($A$2:$A$1001,A352,$C$2:$C$1001,C352)&gt;1,"Duplicate","Unique")</f>
        <v>Unique</v>
      </c>
    </row>
    <row r="353" customFormat="false" ht="15" hidden="false" customHeight="false" outlineLevel="0" collapsed="false">
      <c r="A353" s="2" t="s">
        <v>994</v>
      </c>
      <c r="B353" s="3" t="n">
        <v>6.5</v>
      </c>
      <c r="C353" s="2" t="s">
        <v>995</v>
      </c>
      <c r="D353" s="2" t="n">
        <v>1</v>
      </c>
      <c r="E353" s="2" t="n">
        <v>4</v>
      </c>
      <c r="F353" s="2" t="s">
        <v>25</v>
      </c>
      <c r="G353" s="2" t="n">
        <v>1</v>
      </c>
      <c r="H353" s="2" t="n">
        <v>650</v>
      </c>
      <c r="I353" s="2" t="s">
        <v>26</v>
      </c>
      <c r="J353" s="2" t="n">
        <v>0</v>
      </c>
      <c r="K353" s="2" t="n">
        <v>4.318</v>
      </c>
      <c r="L353" s="2" t="n">
        <v>61</v>
      </c>
      <c r="M353" s="2" t="s">
        <v>27</v>
      </c>
      <c r="N353" s="3" t="n">
        <v>8</v>
      </c>
      <c r="O353" s="3" t="n">
        <v>5.9045</v>
      </c>
      <c r="P353" s="3" t="n">
        <v>-82.6576</v>
      </c>
      <c r="Q353" s="3" t="s">
        <v>996</v>
      </c>
      <c r="R353" s="2"/>
      <c r="S353" s="2"/>
      <c r="T353" s="4" t="n">
        <f aca="false">DATE(VALUE(MID(C353,7,4)),VALUE(MID(C353,4,2)),VALUE(MID(C353,1,2)))+TIME(VALUE(MID(C353,12,2)),VALUE(MID(C353,15,2)),0)</f>
        <v>42011.2131944444</v>
      </c>
      <c r="U353" s="2" t="str">
        <f aca="false">IF(AND(ISNUMBER(VALUE(MID(A353,7,1))),ISNUMBER(SEARCH("km",A353)),ISNUMBER(SEARCH("of",A353))),"Distance-location","Named-region")</f>
        <v>Named-region</v>
      </c>
      <c r="V353" s="2" t="str">
        <f aca="false">LOWER(M353)</f>
        <v>mww</v>
      </c>
      <c r="W353" s="5" t="str">
        <f aca="false">IF(COUNTIFS($A$2:$A$1001,A353,$C$2:$C$1001,C353)&gt;1,"Duplicate","Unique")</f>
        <v>Unique</v>
      </c>
    </row>
    <row r="354" customFormat="false" ht="15" hidden="false" customHeight="false" outlineLevel="0" collapsed="false">
      <c r="A354" s="2" t="s">
        <v>997</v>
      </c>
      <c r="B354" s="3" t="n">
        <v>6.6</v>
      </c>
      <c r="C354" s="2" t="s">
        <v>998</v>
      </c>
      <c r="D354" s="2" t="n">
        <v>7</v>
      </c>
      <c r="E354" s="2" t="n">
        <v>6</v>
      </c>
      <c r="F354" s="2" t="s">
        <v>25</v>
      </c>
      <c r="G354" s="2" t="n">
        <v>1</v>
      </c>
      <c r="H354" s="2" t="n">
        <v>709</v>
      </c>
      <c r="I354" s="2" t="s">
        <v>26</v>
      </c>
      <c r="J354" s="2" t="n">
        <v>0</v>
      </c>
      <c r="K354" s="2" t="n">
        <v>2.485</v>
      </c>
      <c r="L354" s="2" t="n">
        <v>43</v>
      </c>
      <c r="M354" s="2" t="s">
        <v>27</v>
      </c>
      <c r="N354" s="3" t="n">
        <v>20</v>
      </c>
      <c r="O354" s="3" t="n">
        <v>7.9401</v>
      </c>
      <c r="P354" s="3" t="n">
        <v>-82.6865</v>
      </c>
      <c r="Q354" s="3" t="s">
        <v>996</v>
      </c>
      <c r="R354" s="2"/>
      <c r="S354" s="2" t="s">
        <v>164</v>
      </c>
      <c r="T354" s="4" t="n">
        <f aca="false">DATE(VALUE(MID(C354,7,4)),VALUE(MID(C354,4,2)),VALUE(MID(C354,1,2)))+TIME(VALUE(MID(C354,12,2)),VALUE(MID(C354,15,2)),0)</f>
        <v>41981.3708333333</v>
      </c>
      <c r="U354" s="2" t="str">
        <f aca="false">IF(AND(ISNUMBER(VALUE(MID(A354,7,1))),ISNUMBER(SEARCH("km",A354)),ISNUMBER(SEARCH("of",A354))),"Distance-location","Named-region")</f>
        <v>Named-region</v>
      </c>
      <c r="V354" s="2" t="str">
        <f aca="false">LOWER(M354)</f>
        <v>mww</v>
      </c>
      <c r="W354" s="5" t="str">
        <f aca="false">IF(COUNTIFS($A$2:$A$1001,A354,$C$2:$C$1001,C354)&gt;1,"Duplicate","Unique")</f>
        <v>Unique</v>
      </c>
    </row>
    <row r="355" customFormat="false" ht="15" hidden="false" customHeight="false" outlineLevel="0" collapsed="false">
      <c r="A355" s="2" t="s">
        <v>999</v>
      </c>
      <c r="B355" s="3" t="n">
        <v>6.6</v>
      </c>
      <c r="C355" s="2" t="s">
        <v>1000</v>
      </c>
      <c r="D355" s="2" t="n">
        <v>1</v>
      </c>
      <c r="E355" s="2" t="n">
        <v>5</v>
      </c>
      <c r="F355" s="2" t="s">
        <v>25</v>
      </c>
      <c r="G355" s="2" t="n">
        <v>1</v>
      </c>
      <c r="H355" s="2" t="n">
        <v>670</v>
      </c>
      <c r="I355" s="2" t="s">
        <v>26</v>
      </c>
      <c r="J355" s="2" t="n">
        <v>0</v>
      </c>
      <c r="K355" s="2" t="n">
        <v>3.246</v>
      </c>
      <c r="L355" s="2" t="n">
        <v>12</v>
      </c>
      <c r="M355" s="2" t="s">
        <v>27</v>
      </c>
      <c r="N355" s="3" t="n">
        <v>23</v>
      </c>
      <c r="O355" s="3" t="n">
        <v>-6.5108</v>
      </c>
      <c r="P355" s="3" t="n">
        <v>154.46</v>
      </c>
      <c r="Q355" s="3" t="s">
        <v>740</v>
      </c>
      <c r="R355" s="2"/>
      <c r="S355" s="2"/>
      <c r="T355" s="4" t="n">
        <f aca="false">DATE(VALUE(MID(C355,7,4)),VALUE(MID(C355,4,2)),VALUE(MID(C355,1,2)))+TIME(VALUE(MID(C355,12,2)),VALUE(MID(C355,15,2)),0)</f>
        <v>41980.0569444444</v>
      </c>
      <c r="U355" s="2" t="str">
        <f aca="false">IF(AND(ISNUMBER(VALUE(MID(A355,7,1))),ISNUMBER(SEARCH("km",A355)),ISNUMBER(SEARCH("of",A355))),"Distance-location","Named-region")</f>
        <v>Named-region</v>
      </c>
      <c r="V355" s="2" t="str">
        <f aca="false">LOWER(M355)</f>
        <v>mww</v>
      </c>
      <c r="W355" s="5" t="str">
        <f aca="false">IF(COUNTIFS($A$2:$A$1001,A355,$C$2:$C$1001,C355)&gt;1,"Duplicate","Unique")</f>
        <v>Unique</v>
      </c>
    </row>
    <row r="356" customFormat="false" ht="15" hidden="false" customHeight="false" outlineLevel="0" collapsed="false">
      <c r="A356" s="2" t="s">
        <v>1001</v>
      </c>
      <c r="B356" s="3" t="n">
        <v>6.6</v>
      </c>
      <c r="C356" s="2" t="s">
        <v>1002</v>
      </c>
      <c r="D356" s="2" t="n">
        <v>1</v>
      </c>
      <c r="E356" s="2" t="n">
        <v>3</v>
      </c>
      <c r="F356" s="2" t="s">
        <v>25</v>
      </c>
      <c r="G356" s="2" t="n">
        <v>0</v>
      </c>
      <c r="H356" s="2" t="n">
        <v>670</v>
      </c>
      <c r="I356" s="2" t="s">
        <v>26</v>
      </c>
      <c r="J356" s="2" t="n">
        <v>0</v>
      </c>
      <c r="K356" s="2" t="n">
        <v>2.6</v>
      </c>
      <c r="L356" s="2" t="n">
        <v>9</v>
      </c>
      <c r="M356" s="2" t="s">
        <v>27</v>
      </c>
      <c r="N356" s="3" t="n">
        <v>614</v>
      </c>
      <c r="O356" s="3" t="n">
        <v>6.1572</v>
      </c>
      <c r="P356" s="3" t="n">
        <v>123.126</v>
      </c>
      <c r="Q356" s="3" t="s">
        <v>1003</v>
      </c>
      <c r="R356" s="2"/>
      <c r="S356" s="2" t="s">
        <v>195</v>
      </c>
      <c r="T356" s="4" t="n">
        <f aca="false">DATE(VALUE(MID(C356,7,4)),VALUE(MID(C356,4,2)),VALUE(MID(C356,1,2)))+TIME(VALUE(MID(C356,12,2)),VALUE(MID(C356,15,2)),0)</f>
        <v>41975.2159722222</v>
      </c>
      <c r="U356" s="2" t="str">
        <f aca="false">IF(AND(ISNUMBER(VALUE(MID(A356,7,1))),ISNUMBER(SEARCH("km",A356)),ISNUMBER(SEARCH("of",A356))),"Distance-location","Named-region")</f>
        <v>Named-region</v>
      </c>
      <c r="V356" s="2" t="str">
        <f aca="false">LOWER(M356)</f>
        <v>mww</v>
      </c>
      <c r="W356" s="5" t="str">
        <f aca="false">IF(COUNTIFS($A$2:$A$1001,A356,$C$2:$C$1001,C356)&gt;1,"Duplicate","Unique")</f>
        <v>Unique</v>
      </c>
    </row>
    <row r="357" customFormat="false" ht="15" hidden="false" customHeight="false" outlineLevel="0" collapsed="false">
      <c r="A357" s="2" t="s">
        <v>1004</v>
      </c>
      <c r="B357" s="3" t="n">
        <v>6.8</v>
      </c>
      <c r="C357" s="2" t="s">
        <v>1005</v>
      </c>
      <c r="D357" s="2" t="n">
        <v>6</v>
      </c>
      <c r="E357" s="2" t="n">
        <v>5</v>
      </c>
      <c r="F357" s="2" t="s">
        <v>25</v>
      </c>
      <c r="G357" s="2" t="n">
        <v>1</v>
      </c>
      <c r="H357" s="2" t="n">
        <v>713</v>
      </c>
      <c r="I357" s="2" t="s">
        <v>26</v>
      </c>
      <c r="J357" s="2" t="n">
        <v>0</v>
      </c>
      <c r="K357" s="2" t="n">
        <v>1.421</v>
      </c>
      <c r="L357" s="2" t="n">
        <v>19</v>
      </c>
      <c r="M357" s="2" t="s">
        <v>27</v>
      </c>
      <c r="N357" s="3" t="n">
        <v>39</v>
      </c>
      <c r="O357" s="3" t="n">
        <v>1.9604</v>
      </c>
      <c r="P357" s="3" t="n">
        <v>126.575</v>
      </c>
      <c r="Q357" s="3" t="s">
        <v>1006</v>
      </c>
      <c r="R357" s="2"/>
      <c r="S357" s="2" t="s">
        <v>72</v>
      </c>
      <c r="T357" s="4" t="n">
        <f aca="false">DATE(VALUE(MID(C357,7,4)),VALUE(MID(C357,4,2)),VALUE(MID(C357,1,2)))+TIME(VALUE(MID(C357,12,2)),VALUE(MID(C357,15,2)),0)</f>
        <v>41969.60625</v>
      </c>
      <c r="U357" s="2" t="str">
        <f aca="false">IF(AND(ISNUMBER(VALUE(MID(A357,7,1))),ISNUMBER(SEARCH("km",A357)),ISNUMBER(SEARCH("of",A357))),"Distance-location","Named-region")</f>
        <v>Named-region</v>
      </c>
      <c r="V357" s="2" t="str">
        <f aca="false">LOWER(M357)</f>
        <v>mww</v>
      </c>
      <c r="W357" s="5" t="str">
        <f aca="false">IF(COUNTIFS($A$2:$A$1001,A357,$C$2:$C$1001,C357)&gt;1,"Duplicate","Unique")</f>
        <v>Unique</v>
      </c>
    </row>
    <row r="358" customFormat="false" ht="15" hidden="false" customHeight="false" outlineLevel="0" collapsed="false">
      <c r="A358" s="2" t="s">
        <v>1007</v>
      </c>
      <c r="B358" s="3" t="n">
        <v>6.5</v>
      </c>
      <c r="C358" s="2" t="s">
        <v>1008</v>
      </c>
      <c r="D358" s="2" t="n">
        <v>5</v>
      </c>
      <c r="E358" s="2" t="n">
        <v>5</v>
      </c>
      <c r="F358" s="2" t="s">
        <v>25</v>
      </c>
      <c r="G358" s="2" t="n">
        <v>1</v>
      </c>
      <c r="H358" s="2" t="n">
        <v>652</v>
      </c>
      <c r="I358" s="2" t="s">
        <v>26</v>
      </c>
      <c r="J358" s="2" t="n">
        <v>0</v>
      </c>
      <c r="K358" s="2" t="n">
        <v>1.549</v>
      </c>
      <c r="L358" s="2" t="n">
        <v>9</v>
      </c>
      <c r="M358" s="2" t="s">
        <v>27</v>
      </c>
      <c r="N358" s="3" t="n">
        <v>35</v>
      </c>
      <c r="O358" s="3" t="n">
        <v>2.2999</v>
      </c>
      <c r="P358" s="3" t="n">
        <v>127.056</v>
      </c>
      <c r="Q358" s="3" t="s">
        <v>132</v>
      </c>
      <c r="R358" s="2"/>
      <c r="S358" s="2" t="s">
        <v>72</v>
      </c>
      <c r="T358" s="4" t="n">
        <f aca="false">DATE(VALUE(MID(C358,7,4)),VALUE(MID(C358,4,2)),VALUE(MID(C358,1,2)))+TIME(VALUE(MID(C358,12,2)),VALUE(MID(C358,15,2)),0)</f>
        <v>41964.4236111111</v>
      </c>
      <c r="U358" s="2" t="str">
        <f aca="false">IF(AND(ISNUMBER(VALUE(MID(A358,7,1))),ISNUMBER(SEARCH("km",A358)),ISNUMBER(SEARCH("of",A358))),"Distance-location","Named-region")</f>
        <v>Named-region</v>
      </c>
      <c r="V358" s="2" t="str">
        <f aca="false">LOWER(M358)</f>
        <v>mww</v>
      </c>
      <c r="W358" s="5" t="str">
        <f aca="false">IF(COUNTIFS($A$2:$A$1001,A358,$C$2:$C$1001,C358)&gt;1,"Duplicate","Unique")</f>
        <v>Unique</v>
      </c>
    </row>
    <row r="359" customFormat="false" ht="15" hidden="false" customHeight="false" outlineLevel="0" collapsed="false">
      <c r="A359" s="2" t="s">
        <v>1009</v>
      </c>
      <c r="B359" s="3" t="n">
        <v>6.7</v>
      </c>
      <c r="C359" s="2" t="s">
        <v>1010</v>
      </c>
      <c r="D359" s="2" t="n">
        <v>7</v>
      </c>
      <c r="E359" s="2" t="n">
        <v>4</v>
      </c>
      <c r="F359" s="2" t="s">
        <v>25</v>
      </c>
      <c r="G359" s="2" t="n">
        <v>1</v>
      </c>
      <c r="H359" s="2" t="n">
        <v>698</v>
      </c>
      <c r="I359" s="2" t="s">
        <v>26</v>
      </c>
      <c r="J359" s="2" t="n">
        <v>0</v>
      </c>
      <c r="K359" s="2" t="n">
        <v>1.079</v>
      </c>
      <c r="L359" s="2" t="n">
        <v>25</v>
      </c>
      <c r="M359" s="2" t="s">
        <v>27</v>
      </c>
      <c r="N359" s="3" t="n">
        <v>22</v>
      </c>
      <c r="O359" s="3" t="n">
        <v>-37.6478</v>
      </c>
      <c r="P359" s="3" t="n">
        <v>179.662</v>
      </c>
      <c r="Q359" s="3" t="s">
        <v>346</v>
      </c>
      <c r="R359" s="2"/>
      <c r="S359" s="2"/>
      <c r="T359" s="4" t="n">
        <f aca="false">DATE(VALUE(MID(C359,7,4)),VALUE(MID(C359,4,2)),VALUE(MID(C359,1,2)))+TIME(VALUE(MID(C359,12,2)),VALUE(MID(C359,15,2)),0)</f>
        <v>41959.9395833333</v>
      </c>
      <c r="U359" s="2" t="str">
        <f aca="false">IF(AND(ISNUMBER(VALUE(MID(A359,7,1))),ISNUMBER(SEARCH("km",A359)),ISNUMBER(SEARCH("of",A359))),"Distance-location","Named-region")</f>
        <v>Named-region</v>
      </c>
      <c r="V359" s="2" t="str">
        <f aca="false">LOWER(M359)</f>
        <v>mww</v>
      </c>
      <c r="W359" s="5" t="str">
        <f aca="false">IF(COUNTIFS($A$2:$A$1001,A359,$C$2:$C$1001,C359)&gt;1,"Duplicate","Unique")</f>
        <v>Unique</v>
      </c>
    </row>
    <row r="360" customFormat="false" ht="15" hidden="false" customHeight="false" outlineLevel="0" collapsed="false">
      <c r="A360" s="2" t="s">
        <v>1011</v>
      </c>
      <c r="B360" s="3" t="n">
        <v>7.1</v>
      </c>
      <c r="C360" s="2" t="s">
        <v>1012</v>
      </c>
      <c r="D360" s="2" t="n">
        <v>4</v>
      </c>
      <c r="E360" s="2" t="n">
        <v>6</v>
      </c>
      <c r="F360" s="2" t="s">
        <v>25</v>
      </c>
      <c r="G360" s="2" t="n">
        <v>1</v>
      </c>
      <c r="H360" s="2" t="n">
        <v>779</v>
      </c>
      <c r="I360" s="2" t="s">
        <v>26</v>
      </c>
      <c r="J360" s="2" t="n">
        <v>0</v>
      </c>
      <c r="K360" s="2" t="n">
        <v>1.397</v>
      </c>
      <c r="L360" s="2" t="n">
        <v>18</v>
      </c>
      <c r="M360" s="2" t="s">
        <v>27</v>
      </c>
      <c r="N360" s="3" t="n">
        <v>45</v>
      </c>
      <c r="O360" s="3" t="n">
        <v>1.8929</v>
      </c>
      <c r="P360" s="3" t="n">
        <v>126.522</v>
      </c>
      <c r="Q360" s="3" t="s">
        <v>1006</v>
      </c>
      <c r="R360" s="2"/>
      <c r="S360" s="2" t="s">
        <v>72</v>
      </c>
      <c r="T360" s="4" t="n">
        <f aca="false">DATE(VALUE(MID(C360,7,4)),VALUE(MID(C360,4,2)),VALUE(MID(C360,1,2)))+TIME(VALUE(MID(C360,12,2)),VALUE(MID(C360,15,2)),0)</f>
        <v>41958.1048611111</v>
      </c>
      <c r="U360" s="2" t="str">
        <f aca="false">IF(AND(ISNUMBER(VALUE(MID(A360,7,1))),ISNUMBER(SEARCH("km",A360)),ISNUMBER(SEARCH("of",A360))),"Distance-location","Named-region")</f>
        <v>Named-region</v>
      </c>
      <c r="V360" s="2" t="str">
        <f aca="false">LOWER(M360)</f>
        <v>mww</v>
      </c>
      <c r="W360" s="5" t="str">
        <f aca="false">IF(COUNTIFS($A$2:$A$1001,A360,$C$2:$C$1001,C360)&gt;1,"Duplicate","Unique")</f>
        <v>Unique</v>
      </c>
    </row>
    <row r="361" customFormat="false" ht="15" hidden="false" customHeight="false" outlineLevel="0" collapsed="false">
      <c r="A361" s="2" t="s">
        <v>1013</v>
      </c>
      <c r="B361" s="3" t="n">
        <v>6.6</v>
      </c>
      <c r="C361" s="2" t="s">
        <v>1014</v>
      </c>
      <c r="D361" s="2" t="n">
        <v>2</v>
      </c>
      <c r="E361" s="2" t="n">
        <v>6</v>
      </c>
      <c r="F361" s="2" t="s">
        <v>25</v>
      </c>
      <c r="G361" s="2" t="n">
        <v>1</v>
      </c>
      <c r="H361" s="2" t="n">
        <v>671</v>
      </c>
      <c r="I361" s="2" t="s">
        <v>26</v>
      </c>
      <c r="J361" s="2" t="n">
        <v>0</v>
      </c>
      <c r="K361" s="2" t="n">
        <v>3.557</v>
      </c>
      <c r="L361" s="2" t="n">
        <v>13</v>
      </c>
      <c r="M361" s="2" t="s">
        <v>27</v>
      </c>
      <c r="N361" s="3" t="n">
        <v>53.19</v>
      </c>
      <c r="O361" s="3" t="n">
        <v>-5.9873</v>
      </c>
      <c r="P361" s="3" t="n">
        <v>148.232</v>
      </c>
      <c r="Q361" s="3" t="s">
        <v>1015</v>
      </c>
      <c r="R361" s="2"/>
      <c r="S361" s="2" t="s">
        <v>89</v>
      </c>
      <c r="T361" s="4" t="n">
        <f aca="false">DATE(VALUE(MID(C361,7,4)),VALUE(MID(C361,4,2)),VALUE(MID(C361,1,2)))+TIME(VALUE(MID(C361,12,2)),VALUE(MID(C361,15,2)),0)</f>
        <v>41950.1479166667</v>
      </c>
      <c r="U361" s="2" t="str">
        <f aca="false">IF(AND(ISNUMBER(VALUE(MID(A361,7,1))),ISNUMBER(SEARCH("km",A361)),ISNUMBER(SEARCH("of",A361))),"Distance-location","Named-region")</f>
        <v>Named-region</v>
      </c>
      <c r="V361" s="2" t="str">
        <f aca="false">LOWER(M361)</f>
        <v>mww</v>
      </c>
      <c r="W361" s="5" t="str">
        <f aca="false">IF(COUNTIFS($A$2:$A$1001,A361,$C$2:$C$1001,C361)&gt;1,"Duplicate","Unique")</f>
        <v>Unique</v>
      </c>
    </row>
    <row r="362" customFormat="false" ht="15" hidden="false" customHeight="false" outlineLevel="0" collapsed="false">
      <c r="A362" s="2" t="s">
        <v>1016</v>
      </c>
      <c r="B362" s="3" t="n">
        <v>7.1</v>
      </c>
      <c r="C362" s="2" t="s">
        <v>1017</v>
      </c>
      <c r="D362" s="2" t="n">
        <v>3</v>
      </c>
      <c r="E362" s="2" t="n">
        <v>6</v>
      </c>
      <c r="F362" s="2" t="s">
        <v>25</v>
      </c>
      <c r="G362" s="2" t="n">
        <v>1</v>
      </c>
      <c r="H362" s="2" t="n">
        <v>776</v>
      </c>
      <c r="I362" s="2" t="s">
        <v>26</v>
      </c>
      <c r="J362" s="2" t="n">
        <v>0</v>
      </c>
      <c r="K362" s="2" t="n">
        <v>4.415</v>
      </c>
      <c r="L362" s="2" t="n">
        <v>13</v>
      </c>
      <c r="M362" s="2" t="s">
        <v>27</v>
      </c>
      <c r="N362" s="3" t="n">
        <v>434</v>
      </c>
      <c r="O362" s="3" t="n">
        <v>-19.6903</v>
      </c>
      <c r="P362" s="3" t="n">
        <v>-177.759</v>
      </c>
      <c r="Q362" s="3" t="s">
        <v>796</v>
      </c>
      <c r="R362" s="2"/>
      <c r="S362" s="2"/>
      <c r="T362" s="4" t="n">
        <f aca="false">DATE(VALUE(MID(C362,7,4)),VALUE(MID(C362,4,2)),VALUE(MID(C362,1,2)))+TIME(VALUE(MID(C362,12,2)),VALUE(MID(C362,15,2)),0)</f>
        <v>41944.7895833333</v>
      </c>
      <c r="U362" s="2" t="str">
        <f aca="false">IF(AND(ISNUMBER(VALUE(MID(A362,7,1))),ISNUMBER(SEARCH("km",A362)),ISNUMBER(SEARCH("of",A362))),"Distance-location","Named-region")</f>
        <v>Named-region</v>
      </c>
      <c r="V362" s="2" t="str">
        <f aca="false">LOWER(M362)</f>
        <v>mww</v>
      </c>
      <c r="W362" s="5" t="str">
        <f aca="false">IF(COUNTIFS($A$2:$A$1001,A362,$C$2:$C$1001,C362)&gt;1,"Duplicate","Unique")</f>
        <v>Unique</v>
      </c>
    </row>
    <row r="363" customFormat="false" ht="15" hidden="false" customHeight="false" outlineLevel="0" collapsed="false">
      <c r="A363" s="2" t="s">
        <v>1018</v>
      </c>
      <c r="B363" s="3" t="n">
        <v>7.3</v>
      </c>
      <c r="C363" s="2" t="s">
        <v>1019</v>
      </c>
      <c r="D363" s="2" t="n">
        <v>8</v>
      </c>
      <c r="E363" s="2" t="n">
        <v>6</v>
      </c>
      <c r="F363" s="2" t="s">
        <v>32</v>
      </c>
      <c r="G363" s="2" t="n">
        <v>1</v>
      </c>
      <c r="H363" s="2" t="n">
        <v>982</v>
      </c>
      <c r="I363" s="2" t="s">
        <v>26</v>
      </c>
      <c r="J363" s="2" t="n">
        <v>0</v>
      </c>
      <c r="K363" s="2" t="n">
        <v>1.078</v>
      </c>
      <c r="L363" s="2" t="n">
        <v>18</v>
      </c>
      <c r="M363" s="2" t="s">
        <v>27</v>
      </c>
      <c r="N363" s="3" t="n">
        <v>40</v>
      </c>
      <c r="O363" s="3" t="n">
        <v>12.5262</v>
      </c>
      <c r="P363" s="3" t="n">
        <v>-88.1225</v>
      </c>
      <c r="Q363" s="3" t="s">
        <v>33</v>
      </c>
      <c r="R363" s="2"/>
      <c r="S363" s="2"/>
      <c r="T363" s="4" t="n">
        <f aca="false">DATE(VALUE(MID(C363,7,4)),VALUE(MID(C363,4,2)),VALUE(MID(C363,1,2)))+TIME(VALUE(MID(C363,12,2)),VALUE(MID(C363,15,2)),0)</f>
        <v>41926.1604166667</v>
      </c>
      <c r="U363" s="2" t="str">
        <f aca="false">IF(AND(ISNUMBER(VALUE(MID(A363,7,1))),ISNUMBER(SEARCH("km",A363)),ISNUMBER(SEARCH("of",A363))),"Distance-location","Named-region")</f>
        <v>Named-region</v>
      </c>
      <c r="V363" s="2" t="str">
        <f aca="false">LOWER(M363)</f>
        <v>mww</v>
      </c>
      <c r="W363" s="5" t="str">
        <f aca="false">IF(COUNTIFS($A$2:$A$1001,A363,$C$2:$C$1001,C363)&gt;1,"Duplicate","Unique")</f>
        <v>Unique</v>
      </c>
    </row>
    <row r="364" customFormat="false" ht="15" hidden="false" customHeight="false" outlineLevel="0" collapsed="false">
      <c r="A364" s="2" t="s">
        <v>1020</v>
      </c>
      <c r="B364" s="3" t="n">
        <v>6.7</v>
      </c>
      <c r="C364" s="2" t="s">
        <v>1021</v>
      </c>
      <c r="D364" s="2" t="n">
        <v>5</v>
      </c>
      <c r="E364" s="2" t="n">
        <v>5</v>
      </c>
      <c r="F364" s="2" t="s">
        <v>25</v>
      </c>
      <c r="G364" s="2" t="n">
        <v>1</v>
      </c>
      <c r="H364" s="2" t="n">
        <v>724</v>
      </c>
      <c r="I364" s="2" t="s">
        <v>26</v>
      </c>
      <c r="J364" s="2" t="n">
        <v>0</v>
      </c>
      <c r="K364" s="2" t="n">
        <v>0.46</v>
      </c>
      <c r="L364" s="2" t="n">
        <v>11</v>
      </c>
      <c r="M364" s="2" t="s">
        <v>27</v>
      </c>
      <c r="N364" s="3" t="n">
        <v>130</v>
      </c>
      <c r="O364" s="3" t="n">
        <v>13.7641</v>
      </c>
      <c r="P364" s="3" t="n">
        <v>144.429</v>
      </c>
      <c r="Q364" s="3" t="s">
        <v>1022</v>
      </c>
      <c r="R364" s="2"/>
      <c r="S364" s="2"/>
      <c r="T364" s="4" t="n">
        <f aca="false">DATE(VALUE(MID(C364,7,4)),VALUE(MID(C364,4,2)),VALUE(MID(C364,1,2)))+TIME(VALUE(MID(C364,12,2)),VALUE(MID(C364,15,2)),0)</f>
        <v>41899.2597222222</v>
      </c>
      <c r="U364" s="2" t="str">
        <f aca="false">IF(AND(ISNUMBER(VALUE(MID(A364,7,1))),ISNUMBER(SEARCH("km",A364)),ISNUMBER(SEARCH("of",A364))),"Distance-location","Named-region")</f>
        <v>Named-region</v>
      </c>
      <c r="V364" s="2" t="str">
        <f aca="false">LOWER(M364)</f>
        <v>mww</v>
      </c>
      <c r="W364" s="5" t="str">
        <f aca="false">IF(COUNTIFS($A$2:$A$1001,A364,$C$2:$C$1001,C364)&gt;1,"Duplicate","Unique")</f>
        <v>Unique</v>
      </c>
    </row>
    <row r="365" customFormat="false" ht="15" hidden="false" customHeight="false" outlineLevel="0" collapsed="false">
      <c r="A365" s="2" t="s">
        <v>1023</v>
      </c>
      <c r="B365" s="3" t="n">
        <v>6.8</v>
      </c>
      <c r="C365" s="2" t="s">
        <v>1024</v>
      </c>
      <c r="D365" s="2" t="n">
        <v>6</v>
      </c>
      <c r="E365" s="2" t="n">
        <v>6</v>
      </c>
      <c r="F365" s="2" t="s">
        <v>25</v>
      </c>
      <c r="G365" s="2" t="n">
        <v>1</v>
      </c>
      <c r="H365" s="2" t="n">
        <v>741</v>
      </c>
      <c r="I365" s="2" t="s">
        <v>26</v>
      </c>
      <c r="J365" s="2" t="n">
        <v>0</v>
      </c>
      <c r="K365" s="2" t="n">
        <v>4.107</v>
      </c>
      <c r="L365" s="2" t="n">
        <v>18</v>
      </c>
      <c r="M365" s="2" t="s">
        <v>27</v>
      </c>
      <c r="N365" s="3" t="n">
        <v>101</v>
      </c>
      <c r="O365" s="3" t="n">
        <v>-14.598</v>
      </c>
      <c r="P365" s="3" t="n">
        <v>-73.5714</v>
      </c>
      <c r="Q365" s="3" t="s">
        <v>1025</v>
      </c>
      <c r="R365" s="2" t="s">
        <v>37</v>
      </c>
      <c r="S365" s="2" t="s">
        <v>203</v>
      </c>
      <c r="T365" s="4" t="n">
        <f aca="false">DATE(VALUE(MID(C365,7,4)),VALUE(MID(C365,4,2)),VALUE(MID(C365,1,2)))+TIME(VALUE(MID(C365,12,2)),VALUE(MID(C365,15,2)),0)</f>
        <v>41875.9729166667</v>
      </c>
      <c r="U365" s="2" t="str">
        <f aca="false">IF(AND(ISNUMBER(VALUE(MID(A365,7,1))),ISNUMBER(SEARCH("km",A365)),ISNUMBER(SEARCH("of",A365))),"Distance-location","Named-region")</f>
        <v>Named-region</v>
      </c>
      <c r="V365" s="2" t="str">
        <f aca="false">LOWER(M365)</f>
        <v>mww</v>
      </c>
      <c r="W365" s="5" t="str">
        <f aca="false">IF(COUNTIFS($A$2:$A$1001,A365,$C$2:$C$1001,C365)&gt;1,"Duplicate","Unique")</f>
        <v>Unique</v>
      </c>
    </row>
    <row r="366" customFormat="false" ht="15" hidden="false" customHeight="false" outlineLevel="0" collapsed="false">
      <c r="A366" s="2" t="s">
        <v>1026</v>
      </c>
      <c r="B366" s="3" t="n">
        <v>6.9</v>
      </c>
      <c r="C366" s="2" t="s">
        <v>1027</v>
      </c>
      <c r="D366" s="2" t="n">
        <v>0</v>
      </c>
      <c r="E366" s="2" t="n">
        <v>4</v>
      </c>
      <c r="F366" s="2" t="s">
        <v>25</v>
      </c>
      <c r="G366" s="2" t="n">
        <v>1</v>
      </c>
      <c r="H366" s="2" t="n">
        <v>732</v>
      </c>
      <c r="I366" s="2" t="s">
        <v>26</v>
      </c>
      <c r="J366" s="2" t="n">
        <v>0</v>
      </c>
      <c r="K366" s="2" t="n">
        <v>6.393</v>
      </c>
      <c r="L366" s="2" t="n">
        <v>12</v>
      </c>
      <c r="M366" s="2" t="s">
        <v>27</v>
      </c>
      <c r="N366" s="3" t="n">
        <v>13</v>
      </c>
      <c r="O366" s="3" t="n">
        <v>0.8295</v>
      </c>
      <c r="P366" s="3" t="n">
        <v>146.169</v>
      </c>
      <c r="Q366" s="3" t="s">
        <v>1028</v>
      </c>
      <c r="R366" s="2"/>
      <c r="S366" s="2"/>
      <c r="T366" s="4" t="n">
        <f aca="false">DATE(VALUE(MID(C366,7,4)),VALUE(MID(C366,4,2)),VALUE(MID(C366,1,2)))+TIME(VALUE(MID(C366,12,2)),VALUE(MID(C366,15,2)),0)</f>
        <v>41854.0152777778</v>
      </c>
      <c r="U366" s="2" t="str">
        <f aca="false">IF(AND(ISNUMBER(VALUE(MID(A366,7,1))),ISNUMBER(SEARCH("km",A366)),ISNUMBER(SEARCH("of",A366))),"Distance-location","Named-region")</f>
        <v>Named-region</v>
      </c>
      <c r="V366" s="2" t="str">
        <f aca="false">LOWER(M366)</f>
        <v>mww</v>
      </c>
      <c r="W366" s="5" t="str">
        <f aca="false">IF(COUNTIFS($A$2:$A$1001,A366,$C$2:$C$1001,C366)&gt;1,"Duplicate","Unique")</f>
        <v>Unique</v>
      </c>
    </row>
    <row r="367" customFormat="false" ht="15" hidden="false" customHeight="false" outlineLevel="0" collapsed="false">
      <c r="A367" s="2" t="s">
        <v>794</v>
      </c>
      <c r="B367" s="3" t="n">
        <v>6.9</v>
      </c>
      <c r="C367" s="2" t="s">
        <v>1029</v>
      </c>
      <c r="D367" s="2" t="n">
        <v>0</v>
      </c>
      <c r="E367" s="2" t="n">
        <v>6</v>
      </c>
      <c r="F367" s="2" t="s">
        <v>25</v>
      </c>
      <c r="G367" s="2" t="n">
        <v>1</v>
      </c>
      <c r="H367" s="2" t="n">
        <v>732</v>
      </c>
      <c r="I367" s="2" t="s">
        <v>26</v>
      </c>
      <c r="J367" s="2" t="n">
        <v>0</v>
      </c>
      <c r="K367" s="2" t="n">
        <v>3.934</v>
      </c>
      <c r="L367" s="2" t="n">
        <v>15</v>
      </c>
      <c r="M367" s="2" t="s">
        <v>27</v>
      </c>
      <c r="N367" s="3" t="n">
        <v>615.42</v>
      </c>
      <c r="O367" s="3" t="n">
        <v>-19.8015</v>
      </c>
      <c r="P367" s="3" t="n">
        <v>-178.4</v>
      </c>
      <c r="Q367" s="3" t="s">
        <v>796</v>
      </c>
      <c r="R367" s="2"/>
      <c r="S367" s="2" t="s">
        <v>150</v>
      </c>
      <c r="T367" s="4" t="n">
        <f aca="false">DATE(VALUE(MID(C367,7,4)),VALUE(MID(C367,4,2)),VALUE(MID(C367,1,2)))+TIME(VALUE(MID(C367,12,2)),VALUE(MID(C367,15,2)),0)</f>
        <v>41841.6208333333</v>
      </c>
      <c r="U367" s="2" t="str">
        <f aca="false">IF(AND(ISNUMBER(VALUE(MID(A367,7,1))),ISNUMBER(SEARCH("km",A367)),ISNUMBER(SEARCH("of",A367))),"Distance-location","Named-region")</f>
        <v>Named-region</v>
      </c>
      <c r="V367" s="2" t="str">
        <f aca="false">LOWER(M367)</f>
        <v>mww</v>
      </c>
      <c r="W367" s="5" t="str">
        <f aca="false">IF(COUNTIFS($A$2:$A$1001,A367,$C$2:$C$1001,C367)&gt;1,"Duplicate","Unique")</f>
        <v>Unique</v>
      </c>
    </row>
    <row r="368" customFormat="false" ht="15" hidden="false" customHeight="false" outlineLevel="0" collapsed="false">
      <c r="A368" s="2" t="s">
        <v>1030</v>
      </c>
      <c r="B368" s="3" t="n">
        <v>6.5</v>
      </c>
      <c r="C368" s="2" t="s">
        <v>1031</v>
      </c>
      <c r="D368" s="2" t="n">
        <v>5</v>
      </c>
      <c r="E368" s="2" t="n">
        <v>4</v>
      </c>
      <c r="F368" s="2" t="s">
        <v>25</v>
      </c>
      <c r="G368" s="2" t="n">
        <v>1</v>
      </c>
      <c r="H368" s="2" t="n">
        <v>706</v>
      </c>
      <c r="I368" s="2" t="s">
        <v>26</v>
      </c>
      <c r="J368" s="2" t="n">
        <v>0</v>
      </c>
      <c r="K368" s="2" t="n">
        <v>2.421</v>
      </c>
      <c r="L368" s="2" t="n">
        <v>9</v>
      </c>
      <c r="M368" s="2" t="s">
        <v>27</v>
      </c>
      <c r="N368" s="3" t="n">
        <v>20</v>
      </c>
      <c r="O368" s="3" t="n">
        <v>37.0052</v>
      </c>
      <c r="P368" s="3" t="n">
        <v>142.452</v>
      </c>
      <c r="Q368" s="3" t="s">
        <v>221</v>
      </c>
      <c r="R368" s="2"/>
      <c r="S368" s="2"/>
      <c r="T368" s="4" t="n">
        <f aca="false">DATE(VALUE(MID(C368,7,4)),VALUE(MID(C368,4,2)),VALUE(MID(C368,1,2)))+TIME(VALUE(MID(C368,12,2)),VALUE(MID(C368,15,2)),0)</f>
        <v>41831.8069444444</v>
      </c>
      <c r="U368" s="2" t="str">
        <f aca="false">IF(AND(ISNUMBER(VALUE(MID(A368,7,1))),ISNUMBER(SEARCH("km",A368)),ISNUMBER(SEARCH("of",A368))),"Distance-location","Named-region")</f>
        <v>Named-region</v>
      </c>
      <c r="V368" s="2" t="str">
        <f aca="false">LOWER(M368)</f>
        <v>mww</v>
      </c>
      <c r="W368" s="5" t="str">
        <f aca="false">IF(COUNTIFS($A$2:$A$1001,A368,$C$2:$C$1001,C368)&gt;1,"Duplicate","Unique")</f>
        <v>Unique</v>
      </c>
    </row>
    <row r="369" customFormat="false" ht="15" hidden="false" customHeight="false" outlineLevel="0" collapsed="false">
      <c r="A369" s="2" t="s">
        <v>1032</v>
      </c>
      <c r="B369" s="3" t="n">
        <v>6.9</v>
      </c>
      <c r="C369" s="2" t="s">
        <v>1033</v>
      </c>
      <c r="D369" s="2" t="n">
        <v>8</v>
      </c>
      <c r="E369" s="2" t="n">
        <v>7</v>
      </c>
      <c r="F369" s="2" t="s">
        <v>99</v>
      </c>
      <c r="G369" s="2" t="n">
        <v>1</v>
      </c>
      <c r="H369" s="2" t="n">
        <v>1079</v>
      </c>
      <c r="I369" s="2" t="s">
        <v>26</v>
      </c>
      <c r="J369" s="2" t="n">
        <v>0</v>
      </c>
      <c r="K369" s="2" t="n">
        <v>0.263</v>
      </c>
      <c r="L369" s="2" t="n">
        <v>51</v>
      </c>
      <c r="M369" s="2" t="s">
        <v>27</v>
      </c>
      <c r="N369" s="3" t="n">
        <v>53</v>
      </c>
      <c r="O369" s="3" t="n">
        <v>14.724</v>
      </c>
      <c r="P369" s="3" t="n">
        <v>-92.4614</v>
      </c>
      <c r="Q369" s="3" t="s">
        <v>521</v>
      </c>
      <c r="R369" s="2"/>
      <c r="S369" s="2" t="s">
        <v>169</v>
      </c>
      <c r="T369" s="4" t="n">
        <f aca="false">DATE(VALUE(MID(C369,7,4)),VALUE(MID(C369,4,2)),VALUE(MID(C369,1,2)))+TIME(VALUE(MID(C369,12,2)),VALUE(MID(C369,15,2)),0)</f>
        <v>41827.4743055556</v>
      </c>
      <c r="U369" s="2" t="str">
        <f aca="false">IF(AND(ISNUMBER(VALUE(MID(A369,7,1))),ISNUMBER(SEARCH("km",A369)),ISNUMBER(SEARCH("of",A369))),"Distance-location","Named-region")</f>
        <v>Named-region</v>
      </c>
      <c r="V369" s="2" t="str">
        <f aca="false">LOWER(M369)</f>
        <v>mww</v>
      </c>
      <c r="W369" s="5" t="str">
        <f aca="false">IF(COUNTIFS($A$2:$A$1001,A369,$C$2:$C$1001,C369)&gt;1,"Duplicate","Unique")</f>
        <v>Unique</v>
      </c>
    </row>
    <row r="370" customFormat="false" ht="15" hidden="false" customHeight="false" outlineLevel="0" collapsed="false">
      <c r="A370" s="2" t="s">
        <v>1034</v>
      </c>
      <c r="B370" s="3" t="n">
        <v>6.5</v>
      </c>
      <c r="C370" s="2" t="s">
        <v>1035</v>
      </c>
      <c r="D370" s="2" t="n">
        <v>0</v>
      </c>
      <c r="E370" s="2" t="n">
        <v>4</v>
      </c>
      <c r="F370" s="2" t="s">
        <v>25</v>
      </c>
      <c r="G370" s="2" t="n">
        <v>1</v>
      </c>
      <c r="H370" s="2" t="n">
        <v>650</v>
      </c>
      <c r="I370" s="2" t="s">
        <v>26</v>
      </c>
      <c r="J370" s="2" t="n">
        <v>0</v>
      </c>
      <c r="K370" s="2" t="n">
        <v>2.124</v>
      </c>
      <c r="L370" s="2" t="n">
        <v>15</v>
      </c>
      <c r="M370" s="2" t="s">
        <v>27</v>
      </c>
      <c r="N370" s="3" t="n">
        <v>20</v>
      </c>
      <c r="O370" s="3" t="n">
        <v>-6.2304</v>
      </c>
      <c r="P370" s="3" t="n">
        <v>152.807</v>
      </c>
      <c r="Q370" s="3" t="s">
        <v>629</v>
      </c>
      <c r="R370" s="2"/>
      <c r="S370" s="2"/>
      <c r="T370" s="4" t="n">
        <f aca="false">DATE(VALUE(MID(C370,7,4)),VALUE(MID(C370,4,2)),VALUE(MID(C370,1,2)))+TIME(VALUE(MID(C370,12,2)),VALUE(MID(C370,15,2)),0)</f>
        <v>41824.625</v>
      </c>
      <c r="U370" s="2" t="str">
        <f aca="false">IF(AND(ISNUMBER(VALUE(MID(A370,7,1))),ISNUMBER(SEARCH("km",A370)),ISNUMBER(SEARCH("of",A370))),"Distance-location","Named-region")</f>
        <v>Named-region</v>
      </c>
      <c r="V370" s="2" t="str">
        <f aca="false">LOWER(M370)</f>
        <v>mww</v>
      </c>
      <c r="W370" s="5" t="str">
        <f aca="false">IF(COUNTIFS($A$2:$A$1001,A370,$C$2:$C$1001,C370)&gt;1,"Duplicate","Unique")</f>
        <v>Unique</v>
      </c>
    </row>
    <row r="371" customFormat="false" ht="15" hidden="false" customHeight="false" outlineLevel="0" collapsed="false">
      <c r="A371" s="2" t="s">
        <v>1036</v>
      </c>
      <c r="B371" s="3" t="n">
        <v>6.7</v>
      </c>
      <c r="C371" s="2" t="s">
        <v>1037</v>
      </c>
      <c r="D371" s="2" t="n">
        <v>0</v>
      </c>
      <c r="E371" s="2" t="n">
        <v>5</v>
      </c>
      <c r="F371" s="2" t="s">
        <v>25</v>
      </c>
      <c r="G371" s="2" t="n">
        <v>1</v>
      </c>
      <c r="H371" s="2" t="n">
        <v>691</v>
      </c>
      <c r="I371" s="2" t="s">
        <v>26</v>
      </c>
      <c r="J371" s="2" t="n">
        <v>0</v>
      </c>
      <c r="K371" s="2" t="n">
        <v>6.713</v>
      </c>
      <c r="L371" s="2" t="n">
        <v>45</v>
      </c>
      <c r="M371" s="2" t="s">
        <v>27</v>
      </c>
      <c r="N371" s="3" t="n">
        <v>18</v>
      </c>
      <c r="O371" s="3" t="n">
        <v>-14.9831</v>
      </c>
      <c r="P371" s="3" t="n">
        <v>-175.51</v>
      </c>
      <c r="Q371" s="3" t="s">
        <v>1038</v>
      </c>
      <c r="R371" s="2"/>
      <c r="S371" s="2"/>
      <c r="T371" s="4" t="n">
        <f aca="false">DATE(VALUE(MID(C371,7,4)),VALUE(MID(C371,4,2)),VALUE(MID(C371,1,2)))+TIME(VALUE(MID(C371,12,2)),VALUE(MID(C371,15,2)),0)</f>
        <v>41819.71875</v>
      </c>
      <c r="U371" s="2" t="str">
        <f aca="false">IF(AND(ISNUMBER(VALUE(MID(A371,7,1))),ISNUMBER(SEARCH("km",A371)),ISNUMBER(SEARCH("of",A371))),"Distance-location","Named-region")</f>
        <v>Named-region</v>
      </c>
      <c r="V371" s="2" t="str">
        <f aca="false">LOWER(M371)</f>
        <v>mww</v>
      </c>
      <c r="W371" s="5" t="str">
        <f aca="false">IF(COUNTIFS($A$2:$A$1001,A371,$C$2:$C$1001,C371)&gt;1,"Duplicate","Unique")</f>
        <v>Unique</v>
      </c>
    </row>
    <row r="372" customFormat="false" ht="15" hidden="false" customHeight="false" outlineLevel="0" collapsed="false">
      <c r="A372" s="2" t="s">
        <v>285</v>
      </c>
      <c r="B372" s="3" t="n">
        <v>6.9</v>
      </c>
      <c r="C372" s="2" t="s">
        <v>1039</v>
      </c>
      <c r="D372" s="2" t="n">
        <v>0</v>
      </c>
      <c r="E372" s="2" t="n">
        <v>5</v>
      </c>
      <c r="F372" s="2" t="s">
        <v>25</v>
      </c>
      <c r="G372" s="2" t="n">
        <v>1</v>
      </c>
      <c r="H372" s="2" t="n">
        <v>732</v>
      </c>
      <c r="I372" s="2" t="s">
        <v>26</v>
      </c>
      <c r="J372" s="2" t="n">
        <v>0</v>
      </c>
      <c r="K372" s="2" t="n">
        <v>4.838</v>
      </c>
      <c r="L372" s="2" t="n">
        <v>25</v>
      </c>
      <c r="M372" s="2" t="s">
        <v>27</v>
      </c>
      <c r="N372" s="3" t="n">
        <v>8</v>
      </c>
      <c r="O372" s="3" t="n">
        <v>-55.4703</v>
      </c>
      <c r="P372" s="3" t="n">
        <v>-28.3669</v>
      </c>
      <c r="Q372" s="3" t="s">
        <v>279</v>
      </c>
      <c r="R372" s="2"/>
      <c r="S372" s="2"/>
      <c r="T372" s="4" t="n">
        <f aca="false">DATE(VALUE(MID(C372,7,4)),VALUE(MID(C372,4,2)),VALUE(MID(C372,1,2)))+TIME(VALUE(MID(C372,12,2)),VALUE(MID(C372,15,2)),0)</f>
        <v>41819.3277777778</v>
      </c>
      <c r="U372" s="2" t="str">
        <f aca="false">IF(AND(ISNUMBER(VALUE(MID(A372,7,1))),ISNUMBER(SEARCH("km",A372)),ISNUMBER(SEARCH("of",A372))),"Distance-location","Named-region")</f>
        <v>Named-region</v>
      </c>
      <c r="V372" s="2" t="str">
        <f aca="false">LOWER(M372)</f>
        <v>mww</v>
      </c>
      <c r="W372" s="5" t="str">
        <f aca="false">IF(COUNTIFS($A$2:$A$1001,A372,$C$2:$C$1001,C372)&gt;1,"Duplicate","Unique")</f>
        <v>Unique</v>
      </c>
    </row>
    <row r="373" customFormat="false" ht="15" hidden="false" customHeight="false" outlineLevel="0" collapsed="false">
      <c r="A373" s="2" t="s">
        <v>1040</v>
      </c>
      <c r="B373" s="3" t="n">
        <v>7.9</v>
      </c>
      <c r="C373" s="2" t="s">
        <v>1041</v>
      </c>
      <c r="D373" s="2" t="n">
        <v>6</v>
      </c>
      <c r="E373" s="2" t="n">
        <v>8</v>
      </c>
      <c r="F373" s="2" t="s">
        <v>25</v>
      </c>
      <c r="G373" s="2" t="n">
        <v>1</v>
      </c>
      <c r="H373" s="2" t="n">
        <v>963</v>
      </c>
      <c r="I373" s="2" t="s">
        <v>26</v>
      </c>
      <c r="J373" s="2" t="n">
        <v>0</v>
      </c>
      <c r="K373" s="2" t="n">
        <v>0.133</v>
      </c>
      <c r="L373" s="2" t="n">
        <v>22</v>
      </c>
      <c r="M373" s="2" t="s">
        <v>27</v>
      </c>
      <c r="N373" s="3" t="n">
        <v>109</v>
      </c>
      <c r="O373" s="3" t="n">
        <v>51.8486</v>
      </c>
      <c r="P373" s="3" t="n">
        <v>178.735</v>
      </c>
      <c r="Q373" s="3" t="s">
        <v>1042</v>
      </c>
      <c r="R373" s="2" t="s">
        <v>168</v>
      </c>
      <c r="S373" s="2" t="s">
        <v>265</v>
      </c>
      <c r="T373" s="4" t="n">
        <f aca="false">DATE(VALUE(MID(C373,7,4)),VALUE(MID(C373,4,2)),VALUE(MID(C373,1,2)))+TIME(VALUE(MID(C373,12,2)),VALUE(MID(C373,15,2)),0)</f>
        <v>41813.8701388889</v>
      </c>
      <c r="U373" s="2" t="str">
        <f aca="false">IF(AND(ISNUMBER(VALUE(MID(A373,7,1))),ISNUMBER(SEARCH("km",A373)),ISNUMBER(SEARCH("of",A373))),"Distance-location","Named-region")</f>
        <v>Named-region</v>
      </c>
      <c r="V373" s="2" t="str">
        <f aca="false">LOWER(M373)</f>
        <v>mww</v>
      </c>
      <c r="W373" s="5" t="str">
        <f aca="false">IF(COUNTIFS($A$2:$A$1001,A373,$C$2:$C$1001,C373)&gt;1,"Duplicate","Unique")</f>
        <v>Unique</v>
      </c>
    </row>
    <row r="374" customFormat="false" ht="15" hidden="false" customHeight="false" outlineLevel="0" collapsed="false">
      <c r="A374" s="2" t="s">
        <v>1043</v>
      </c>
      <c r="B374" s="3" t="n">
        <v>6.7</v>
      </c>
      <c r="C374" s="2" t="s">
        <v>1044</v>
      </c>
      <c r="D374" s="2" t="n">
        <v>0</v>
      </c>
      <c r="E374" s="2" t="n">
        <v>5</v>
      </c>
      <c r="F374" s="2" t="s">
        <v>25</v>
      </c>
      <c r="G374" s="2" t="n">
        <v>0</v>
      </c>
      <c r="H374" s="2" t="n">
        <v>691</v>
      </c>
      <c r="I374" s="2" t="s">
        <v>26</v>
      </c>
      <c r="J374" s="2" t="n">
        <v>0</v>
      </c>
      <c r="K374" s="2" t="n">
        <v>0.748</v>
      </c>
      <c r="L374" s="2" t="n">
        <v>43</v>
      </c>
      <c r="M374" s="2" t="s">
        <v>131</v>
      </c>
      <c r="N374" s="3" t="n">
        <v>26.59</v>
      </c>
      <c r="O374" s="3" t="n">
        <v>-29.9414</v>
      </c>
      <c r="P374" s="3" t="n">
        <v>-177.607</v>
      </c>
      <c r="Q374" s="3" t="s">
        <v>75</v>
      </c>
      <c r="R374" s="2"/>
      <c r="S374" s="2"/>
      <c r="T374" s="4" t="n">
        <f aca="false">DATE(VALUE(MID(C374,7,4)),VALUE(MID(C374,4,2)),VALUE(MID(C374,1,2)))+TIME(VALUE(MID(C374,12,2)),VALUE(MID(C374,15,2)),0)</f>
        <v>41813.8375</v>
      </c>
      <c r="U374" s="2" t="str">
        <f aca="false">IF(AND(ISNUMBER(VALUE(MID(A374,7,1))),ISNUMBER(SEARCH("km",A374)),ISNUMBER(SEARCH("of",A374))),"Distance-location","Named-region")</f>
        <v>Named-region</v>
      </c>
      <c r="V374" s="2" t="str">
        <f aca="false">LOWER(M374)</f>
        <v>mwc</v>
      </c>
      <c r="W374" s="5" t="str">
        <f aca="false">IF(COUNTIFS($A$2:$A$1001,A374,$C$2:$C$1001,C374)&gt;1,"Duplicate","Unique")</f>
        <v>Unique</v>
      </c>
    </row>
    <row r="375" customFormat="false" ht="15" hidden="false" customHeight="false" outlineLevel="0" collapsed="false">
      <c r="A375" s="2" t="s">
        <v>311</v>
      </c>
      <c r="B375" s="3" t="n">
        <v>6.5</v>
      </c>
      <c r="C375" s="2" t="s">
        <v>1045</v>
      </c>
      <c r="D375" s="2" t="n">
        <v>0</v>
      </c>
      <c r="E375" s="2" t="n">
        <v>5</v>
      </c>
      <c r="F375" s="2" t="s">
        <v>25</v>
      </c>
      <c r="G375" s="2" t="n">
        <v>0</v>
      </c>
      <c r="H375" s="2" t="n">
        <v>650</v>
      </c>
      <c r="I375" s="2" t="s">
        <v>26</v>
      </c>
      <c r="J375" s="2" t="n">
        <v>0</v>
      </c>
      <c r="K375" s="2" t="n">
        <v>0.778</v>
      </c>
      <c r="L375" s="2" t="n">
        <v>30</v>
      </c>
      <c r="M375" s="2" t="s">
        <v>131</v>
      </c>
      <c r="N375" s="3" t="n">
        <v>10</v>
      </c>
      <c r="O375" s="3" t="n">
        <v>-29.9379</v>
      </c>
      <c r="P375" s="3" t="n">
        <v>-177.516</v>
      </c>
      <c r="Q375" s="3" t="s">
        <v>75</v>
      </c>
      <c r="R375" s="2"/>
      <c r="S375" s="2"/>
      <c r="T375" s="4" t="n">
        <f aca="false">DATE(VALUE(MID(C375,7,4)),VALUE(MID(C375,4,2)),VALUE(MID(C375,1,2)))+TIME(VALUE(MID(C375,12,2)),VALUE(MID(C375,15,2)),0)</f>
        <v>41813.80625</v>
      </c>
      <c r="U375" s="2" t="str">
        <f aca="false">IF(AND(ISNUMBER(VALUE(MID(A375,7,1))),ISNUMBER(SEARCH("km",A375)),ISNUMBER(SEARCH("of",A375))),"Distance-location","Named-region")</f>
        <v>Named-region</v>
      </c>
      <c r="V375" s="2" t="str">
        <f aca="false">LOWER(M375)</f>
        <v>mwc</v>
      </c>
      <c r="W375" s="5" t="str">
        <f aca="false">IF(COUNTIFS($A$2:$A$1001,A375,$C$2:$C$1001,C375)&gt;1,"Duplicate","Unique")</f>
        <v>Unique</v>
      </c>
    </row>
    <row r="376" customFormat="false" ht="15" hidden="false" customHeight="false" outlineLevel="0" collapsed="false">
      <c r="A376" s="2" t="s">
        <v>104</v>
      </c>
      <c r="B376" s="3" t="n">
        <v>6.9</v>
      </c>
      <c r="C376" s="2" t="s">
        <v>1046</v>
      </c>
      <c r="D376" s="2" t="n">
        <v>0</v>
      </c>
      <c r="E376" s="2" t="n">
        <v>5</v>
      </c>
      <c r="F376" s="2" t="s">
        <v>25</v>
      </c>
      <c r="G376" s="2" t="n">
        <v>1</v>
      </c>
      <c r="H376" s="2" t="n">
        <v>732</v>
      </c>
      <c r="I376" s="2" t="s">
        <v>26</v>
      </c>
      <c r="J376" s="2" t="n">
        <v>0</v>
      </c>
      <c r="K376" s="2" t="n">
        <v>0.751</v>
      </c>
      <c r="L376" s="2" t="n">
        <v>35</v>
      </c>
      <c r="M376" s="2" t="s">
        <v>27</v>
      </c>
      <c r="N376" s="3" t="n">
        <v>20</v>
      </c>
      <c r="O376" s="3" t="n">
        <v>-29.9772</v>
      </c>
      <c r="P376" s="3" t="n">
        <v>-177.725</v>
      </c>
      <c r="Q376" s="3" t="s">
        <v>75</v>
      </c>
      <c r="R376" s="2"/>
      <c r="S376" s="2"/>
      <c r="T376" s="4" t="n">
        <f aca="false">DATE(VALUE(MID(C376,7,4)),VALUE(MID(C376,4,2)),VALUE(MID(C376,1,2)))+TIME(VALUE(MID(C376,12,2)),VALUE(MID(C376,15,2)),0)</f>
        <v>41813.8048611111</v>
      </c>
      <c r="U376" s="2" t="str">
        <f aca="false">IF(AND(ISNUMBER(VALUE(MID(A376,7,1))),ISNUMBER(SEARCH("km",A376)),ISNUMBER(SEARCH("of",A376))),"Distance-location","Named-region")</f>
        <v>Named-region</v>
      </c>
      <c r="V376" s="2" t="str">
        <f aca="false">LOWER(M376)</f>
        <v>mww</v>
      </c>
      <c r="W376" s="5" t="str">
        <f aca="false">IF(COUNTIFS($A$2:$A$1001,A376,$C$2:$C$1001,C376)&gt;1,"Duplicate","Unique")</f>
        <v>Unique</v>
      </c>
    </row>
    <row r="377" customFormat="false" ht="15" hidden="false" customHeight="false" outlineLevel="0" collapsed="false">
      <c r="A377" s="2" t="s">
        <v>1047</v>
      </c>
      <c r="B377" s="3" t="n">
        <v>6.9</v>
      </c>
      <c r="C377" s="2" t="s">
        <v>1048</v>
      </c>
      <c r="D377" s="2" t="n">
        <v>9</v>
      </c>
      <c r="E377" s="2" t="n">
        <v>7</v>
      </c>
      <c r="F377" s="2" t="s">
        <v>25</v>
      </c>
      <c r="G377" s="2" t="n">
        <v>0</v>
      </c>
      <c r="H377" s="2" t="n">
        <v>951</v>
      </c>
      <c r="I377" s="2" t="s">
        <v>26</v>
      </c>
      <c r="J377" s="2" t="n">
        <v>0</v>
      </c>
      <c r="K377" s="2" t="n">
        <v>0.402</v>
      </c>
      <c r="L377" s="2" t="n">
        <v>25</v>
      </c>
      <c r="M377" s="2" t="s">
        <v>27</v>
      </c>
      <c r="N377" s="3" t="n">
        <v>6.43</v>
      </c>
      <c r="O377" s="3" t="n">
        <v>40.2893</v>
      </c>
      <c r="P377" s="3" t="n">
        <v>25.3889</v>
      </c>
      <c r="Q377" s="3" t="s">
        <v>1049</v>
      </c>
      <c r="R377" s="2" t="s">
        <v>365</v>
      </c>
      <c r="S377" s="2" t="s">
        <v>366</v>
      </c>
      <c r="T377" s="4" t="n">
        <f aca="false">DATE(VALUE(MID(C377,7,4)),VALUE(MID(C377,4,2)),VALUE(MID(C377,1,2)))+TIME(VALUE(MID(C377,12,2)),VALUE(MID(C377,15,2)),0)</f>
        <v>41783.3923611111</v>
      </c>
      <c r="U377" s="2" t="str">
        <f aca="false">IF(AND(ISNUMBER(VALUE(MID(A377,7,1))),ISNUMBER(SEARCH("km",A377)),ISNUMBER(SEARCH("of",A377))),"Distance-location","Named-region")</f>
        <v>Named-region</v>
      </c>
      <c r="V377" s="2" t="str">
        <f aca="false">LOWER(M377)</f>
        <v>mww</v>
      </c>
      <c r="W377" s="5" t="str">
        <f aca="false">IF(COUNTIFS($A$2:$A$1001,A377,$C$2:$C$1001,C377)&gt;1,"Duplicate","Unique")</f>
        <v>Unique</v>
      </c>
    </row>
    <row r="378" customFormat="false" ht="15" hidden="false" customHeight="false" outlineLevel="0" collapsed="false">
      <c r="A378" s="2" t="s">
        <v>1050</v>
      </c>
      <c r="B378" s="3" t="n">
        <v>6.5</v>
      </c>
      <c r="C378" s="2" t="s">
        <v>1051</v>
      </c>
      <c r="D378" s="2" t="n">
        <v>7</v>
      </c>
      <c r="E378" s="2" t="n">
        <v>5</v>
      </c>
      <c r="F378" s="2" t="s">
        <v>25</v>
      </c>
      <c r="G378" s="2" t="n">
        <v>1</v>
      </c>
      <c r="H378" s="2" t="n">
        <v>694</v>
      </c>
      <c r="I378" s="2" t="s">
        <v>26</v>
      </c>
      <c r="J378" s="2" t="n">
        <v>0</v>
      </c>
      <c r="K378" s="2" t="n">
        <v>3.121</v>
      </c>
      <c r="L378" s="2" t="n">
        <v>33</v>
      </c>
      <c r="M378" s="2" t="s">
        <v>27</v>
      </c>
      <c r="N378" s="3" t="n">
        <v>10</v>
      </c>
      <c r="O378" s="3" t="n">
        <v>7.2096</v>
      </c>
      <c r="P378" s="3" t="n">
        <v>-82.3045</v>
      </c>
      <c r="Q378" s="3" t="s">
        <v>996</v>
      </c>
      <c r="R378" s="2"/>
      <c r="S378" s="2"/>
      <c r="T378" s="4" t="n">
        <f aca="false">DATE(VALUE(MID(C378,7,4)),VALUE(MID(C378,4,2)),VALUE(MID(C378,1,2)))+TIME(VALUE(MID(C378,12,2)),VALUE(MID(C378,15,2)),0)</f>
        <v>41772.2743055556</v>
      </c>
      <c r="U378" s="2" t="str">
        <f aca="false">IF(AND(ISNUMBER(VALUE(MID(A378,7,1))),ISNUMBER(SEARCH("km",A378)),ISNUMBER(SEARCH("of",A378))),"Distance-location","Named-region")</f>
        <v>Named-region</v>
      </c>
      <c r="V378" s="2" t="str">
        <f aca="false">LOWER(M378)</f>
        <v>mww</v>
      </c>
      <c r="W378" s="5" t="str">
        <f aca="false">IF(COUNTIFS($A$2:$A$1001,A378,$C$2:$C$1001,C378)&gt;1,"Duplicate","Unique")</f>
        <v>Unique</v>
      </c>
    </row>
    <row r="379" customFormat="false" ht="15" hidden="false" customHeight="false" outlineLevel="0" collapsed="false">
      <c r="A379" s="2" t="s">
        <v>1052</v>
      </c>
      <c r="B379" s="3" t="n">
        <v>6.6</v>
      </c>
      <c r="C379" s="2" t="s">
        <v>1053</v>
      </c>
      <c r="D379" s="2" t="n">
        <v>0</v>
      </c>
      <c r="E379" s="2" t="n">
        <v>5</v>
      </c>
      <c r="F379" s="2" t="s">
        <v>25</v>
      </c>
      <c r="G379" s="2" t="n">
        <v>1</v>
      </c>
      <c r="H379" s="2" t="n">
        <v>670</v>
      </c>
      <c r="I379" s="2" t="s">
        <v>26</v>
      </c>
      <c r="J379" s="2" t="n">
        <v>0</v>
      </c>
      <c r="K379" s="2" t="n">
        <v>3.34</v>
      </c>
      <c r="L379" s="2" t="n">
        <v>10</v>
      </c>
      <c r="M379" s="2" t="s">
        <v>27</v>
      </c>
      <c r="N379" s="3" t="n">
        <v>106</v>
      </c>
      <c r="O379" s="3" t="n">
        <v>-21.4542</v>
      </c>
      <c r="P379" s="3" t="n">
        <v>170.355</v>
      </c>
      <c r="Q379" s="3" t="s">
        <v>181</v>
      </c>
      <c r="R379" s="2"/>
      <c r="S379" s="2"/>
      <c r="T379" s="4" t="n">
        <f aca="false">DATE(VALUE(MID(C379,7,4)),VALUE(MID(C379,4,2)),VALUE(MID(C379,1,2)))+TIME(VALUE(MID(C379,12,2)),VALUE(MID(C379,15,2)),0)</f>
        <v>41760.275</v>
      </c>
      <c r="U379" s="2" t="str">
        <f aca="false">IF(AND(ISNUMBER(VALUE(MID(A379,7,1))),ISNUMBER(SEARCH("km",A379)),ISNUMBER(SEARCH("of",A379))),"Distance-location","Named-region")</f>
        <v>Named-region</v>
      </c>
      <c r="V379" s="2" t="str">
        <f aca="false">LOWER(M379)</f>
        <v>mww</v>
      </c>
      <c r="W379" s="5" t="str">
        <f aca="false">IF(COUNTIFS($A$2:$A$1001,A379,$C$2:$C$1001,C379)&gt;1,"Duplicate","Unique")</f>
        <v>Unique</v>
      </c>
    </row>
    <row r="380" customFormat="false" ht="15" hidden="false" customHeight="false" outlineLevel="0" collapsed="false">
      <c r="A380" s="2" t="s">
        <v>1054</v>
      </c>
      <c r="B380" s="3" t="n">
        <v>6.5</v>
      </c>
      <c r="C380" s="2" t="s">
        <v>1055</v>
      </c>
      <c r="D380" s="2" t="n">
        <v>4</v>
      </c>
      <c r="E380" s="2" t="n">
        <v>6</v>
      </c>
      <c r="F380" s="2" t="s">
        <v>25</v>
      </c>
      <c r="G380" s="2" t="n">
        <v>1</v>
      </c>
      <c r="H380" s="2" t="n">
        <v>838</v>
      </c>
      <c r="I380" s="2" t="s">
        <v>26</v>
      </c>
      <c r="J380" s="2" t="n">
        <v>0</v>
      </c>
      <c r="K380" s="2" t="n">
        <v>0</v>
      </c>
      <c r="L380" s="2" t="n">
        <v>0</v>
      </c>
      <c r="M380" s="2" t="s">
        <v>27</v>
      </c>
      <c r="N380" s="3" t="n">
        <v>10</v>
      </c>
      <c r="O380" s="3" t="n">
        <v>49.6388</v>
      </c>
      <c r="P380" s="3" t="n">
        <v>-127.732</v>
      </c>
      <c r="Q380" s="3" t="s">
        <v>1056</v>
      </c>
      <c r="R380" s="2"/>
      <c r="S380" s="2"/>
      <c r="T380" s="4" t="n">
        <f aca="false">DATE(VALUE(MID(C380,7,4)),VALUE(MID(C380,4,2)),VALUE(MID(C380,1,2)))+TIME(VALUE(MID(C380,12,2)),VALUE(MID(C380,15,2)),0)</f>
        <v>41753.1319444444</v>
      </c>
      <c r="U380" s="2" t="str">
        <f aca="false">IF(AND(ISNUMBER(VALUE(MID(A380,7,1))),ISNUMBER(SEARCH("km",A380)),ISNUMBER(SEARCH("of",A380))),"Distance-location","Named-region")</f>
        <v>Named-region</v>
      </c>
      <c r="V380" s="2" t="str">
        <f aca="false">LOWER(M380)</f>
        <v>mww</v>
      </c>
      <c r="W380" s="5" t="str">
        <f aca="false">IF(COUNTIFS($A$2:$A$1001,A380,$C$2:$C$1001,C380)&gt;1,"Duplicate","Unique")</f>
        <v>Unique</v>
      </c>
    </row>
    <row r="381" customFormat="false" ht="15" hidden="false" customHeight="false" outlineLevel="0" collapsed="false">
      <c r="A381" s="2" t="s">
        <v>1057</v>
      </c>
      <c r="B381" s="3" t="n">
        <v>7.5</v>
      </c>
      <c r="C381" s="2" t="s">
        <v>1058</v>
      </c>
      <c r="D381" s="2" t="n">
        <v>0</v>
      </c>
      <c r="E381" s="2" t="n">
        <v>6</v>
      </c>
      <c r="F381" s="2" t="s">
        <v>25</v>
      </c>
      <c r="G381" s="2" t="n">
        <v>1</v>
      </c>
      <c r="H381" s="2" t="n">
        <v>865</v>
      </c>
      <c r="I381" s="2" t="s">
        <v>26</v>
      </c>
      <c r="J381" s="2" t="n">
        <v>0</v>
      </c>
      <c r="K381" s="2" t="n">
        <v>3.82</v>
      </c>
      <c r="L381" s="2" t="n">
        <v>16</v>
      </c>
      <c r="M381" s="2" t="s">
        <v>27</v>
      </c>
      <c r="N381" s="3" t="n">
        <v>43.37</v>
      </c>
      <c r="O381" s="3" t="n">
        <v>-6.7547</v>
      </c>
      <c r="P381" s="3" t="n">
        <v>155.024</v>
      </c>
      <c r="Q381" s="3" t="s">
        <v>740</v>
      </c>
      <c r="R381" s="2"/>
      <c r="S381" s="2"/>
      <c r="T381" s="4" t="n">
        <f aca="false">DATE(VALUE(MID(C381,7,4)),VALUE(MID(C381,4,2)),VALUE(MID(C381,1,2)))+TIME(VALUE(MID(C381,12,2)),VALUE(MID(C381,15,2)),0)</f>
        <v>41748.5611111111</v>
      </c>
      <c r="U381" s="2" t="str">
        <f aca="false">IF(AND(ISNUMBER(VALUE(MID(A381,7,1))),ISNUMBER(SEARCH("km",A381)),ISNUMBER(SEARCH("of",A381))),"Distance-location","Named-region")</f>
        <v>Named-region</v>
      </c>
      <c r="V381" s="2" t="str">
        <f aca="false">LOWER(M381)</f>
        <v>mww</v>
      </c>
      <c r="W381" s="5" t="str">
        <f aca="false">IF(COUNTIFS($A$2:$A$1001,A381,$C$2:$C$1001,C381)&gt;1,"Duplicate","Unique")</f>
        <v>Unique</v>
      </c>
    </row>
    <row r="382" customFormat="false" ht="15" hidden="false" customHeight="false" outlineLevel="0" collapsed="false">
      <c r="A382" s="2" t="s">
        <v>1059</v>
      </c>
      <c r="B382" s="3" t="n">
        <v>6.6</v>
      </c>
      <c r="C382" s="2" t="s">
        <v>1060</v>
      </c>
      <c r="D382" s="2" t="n">
        <v>0</v>
      </c>
      <c r="E382" s="2" t="n">
        <v>6</v>
      </c>
      <c r="F382" s="2" t="s">
        <v>25</v>
      </c>
      <c r="G382" s="2" t="n">
        <v>1</v>
      </c>
      <c r="H382" s="2" t="n">
        <v>670</v>
      </c>
      <c r="I382" s="2" t="s">
        <v>26</v>
      </c>
      <c r="J382" s="2" t="n">
        <v>0</v>
      </c>
      <c r="K382" s="2" t="n">
        <v>3.803</v>
      </c>
      <c r="L382" s="2" t="n">
        <v>11</v>
      </c>
      <c r="M382" s="2" t="s">
        <v>27</v>
      </c>
      <c r="N382" s="3" t="n">
        <v>29</v>
      </c>
      <c r="O382" s="3" t="n">
        <v>-6.6558</v>
      </c>
      <c r="P382" s="3" t="n">
        <v>155.087</v>
      </c>
      <c r="Q382" s="3" t="s">
        <v>740</v>
      </c>
      <c r="R382" s="2"/>
      <c r="S382" s="2" t="s">
        <v>89</v>
      </c>
      <c r="T382" s="4" t="n">
        <f aca="false">DATE(VALUE(MID(C382,7,4)),VALUE(MID(C382,4,2)),VALUE(MID(C382,1,2)))+TIME(VALUE(MID(C382,12,2)),VALUE(MID(C382,15,2)),0)</f>
        <v>41748.0444444444</v>
      </c>
      <c r="U382" s="2" t="str">
        <f aca="false">IF(AND(ISNUMBER(VALUE(MID(A382,7,1))),ISNUMBER(SEARCH("km",A382)),ISNUMBER(SEARCH("of",A382))),"Distance-location","Named-region")</f>
        <v>Named-region</v>
      </c>
      <c r="V382" s="2" t="str">
        <f aca="false">LOWER(M382)</f>
        <v>mww</v>
      </c>
      <c r="W382" s="5" t="str">
        <f aca="false">IF(COUNTIFS($A$2:$A$1001,A382,$C$2:$C$1001,C382)&gt;1,"Duplicate","Unique")</f>
        <v>Unique</v>
      </c>
    </row>
    <row r="383" customFormat="false" ht="15" hidden="false" customHeight="false" outlineLevel="0" collapsed="false">
      <c r="A383" s="2" t="s">
        <v>1061</v>
      </c>
      <c r="B383" s="3" t="n">
        <v>7.2</v>
      </c>
      <c r="C383" s="2" t="s">
        <v>1062</v>
      </c>
      <c r="D383" s="2" t="n">
        <v>8</v>
      </c>
      <c r="E383" s="2" t="n">
        <v>7</v>
      </c>
      <c r="F383" s="2" t="s">
        <v>32</v>
      </c>
      <c r="G383" s="2" t="n">
        <v>1</v>
      </c>
      <c r="H383" s="2" t="n">
        <v>1017</v>
      </c>
      <c r="I383" s="2" t="s">
        <v>26</v>
      </c>
      <c r="J383" s="2" t="n">
        <v>0</v>
      </c>
      <c r="K383" s="2" t="n">
        <v>2.25</v>
      </c>
      <c r="L383" s="2" t="n">
        <v>46</v>
      </c>
      <c r="M383" s="2" t="s">
        <v>27</v>
      </c>
      <c r="N383" s="3" t="n">
        <v>24</v>
      </c>
      <c r="O383" s="3" t="n">
        <v>17.397</v>
      </c>
      <c r="P383" s="3" t="n">
        <v>-100.972</v>
      </c>
      <c r="Q383" s="3" t="s">
        <v>1063</v>
      </c>
      <c r="R383" s="2" t="s">
        <v>168</v>
      </c>
      <c r="S383" s="2" t="s">
        <v>169</v>
      </c>
      <c r="T383" s="4" t="n">
        <f aca="false">DATE(VALUE(MID(C383,7,4)),VALUE(MID(C383,4,2)),VALUE(MID(C383,1,2)))+TIME(VALUE(MID(C383,12,2)),VALUE(MID(C383,15,2)),0)</f>
        <v>41747.6020833333</v>
      </c>
      <c r="U383" s="2" t="str">
        <f aca="false">IF(AND(ISNUMBER(VALUE(MID(A383,7,1))),ISNUMBER(SEARCH("km",A383)),ISNUMBER(SEARCH("of",A383))),"Distance-location","Named-region")</f>
        <v>Named-region</v>
      </c>
      <c r="V383" s="2" t="str">
        <f aca="false">LOWER(M383)</f>
        <v>mww</v>
      </c>
      <c r="W383" s="5" t="str">
        <f aca="false">IF(COUNTIFS($A$2:$A$1001,A383,$C$2:$C$1001,C383)&gt;1,"Duplicate","Unique")</f>
        <v>Unique</v>
      </c>
    </row>
    <row r="384" customFormat="false" ht="15" hidden="false" customHeight="false" outlineLevel="0" collapsed="false">
      <c r="A384" s="2" t="s">
        <v>1064</v>
      </c>
      <c r="B384" s="3" t="n">
        <v>6.6</v>
      </c>
      <c r="C384" s="2" t="s">
        <v>1065</v>
      </c>
      <c r="D384" s="2" t="n">
        <v>0</v>
      </c>
      <c r="E384" s="2" t="n">
        <v>6</v>
      </c>
      <c r="F384" s="2" t="s">
        <v>25</v>
      </c>
      <c r="G384" s="2" t="n">
        <v>0</v>
      </c>
      <c r="H384" s="2" t="n">
        <v>670</v>
      </c>
      <c r="I384" s="2" t="s">
        <v>26</v>
      </c>
      <c r="J384" s="2" t="n">
        <v>0</v>
      </c>
      <c r="K384" s="2" t="n">
        <v>2.666</v>
      </c>
      <c r="L384" s="2" t="n">
        <v>22</v>
      </c>
      <c r="M384" s="2" t="s">
        <v>27</v>
      </c>
      <c r="N384" s="3" t="n">
        <v>10</v>
      </c>
      <c r="O384" s="3" t="n">
        <v>-11.1284</v>
      </c>
      <c r="P384" s="3" t="n">
        <v>162.052</v>
      </c>
      <c r="Q384" s="3" t="s">
        <v>585</v>
      </c>
      <c r="R384" s="2"/>
      <c r="S384" s="2"/>
      <c r="T384" s="4" t="n">
        <f aca="false">DATE(VALUE(MID(C384,7,4)),VALUE(MID(C384,4,2)),VALUE(MID(C384,1,2)))+TIME(VALUE(MID(C384,12,2)),VALUE(MID(C384,15,2)),0)</f>
        <v>41742.5583333333</v>
      </c>
      <c r="U384" s="2" t="str">
        <f aca="false">IF(AND(ISNUMBER(VALUE(MID(A384,7,1))),ISNUMBER(SEARCH("km",A384)),ISNUMBER(SEARCH("of",A384))),"Distance-location","Named-region")</f>
        <v>Named-region</v>
      </c>
      <c r="V384" s="2" t="str">
        <f aca="false">LOWER(M384)</f>
        <v>mww</v>
      </c>
      <c r="W384" s="5" t="str">
        <f aca="false">IF(COUNTIFS($A$2:$A$1001,A384,$C$2:$C$1001,C384)&gt;1,"Duplicate","Unique")</f>
        <v>Unique</v>
      </c>
    </row>
    <row r="385" customFormat="false" ht="15" hidden="false" customHeight="false" outlineLevel="0" collapsed="false">
      <c r="A385" s="2" t="s">
        <v>1066</v>
      </c>
      <c r="B385" s="3" t="n">
        <v>7.4</v>
      </c>
      <c r="C385" s="2" t="s">
        <v>1067</v>
      </c>
      <c r="D385" s="2" t="n">
        <v>0</v>
      </c>
      <c r="E385" s="2" t="n">
        <v>6</v>
      </c>
      <c r="F385" s="2" t="s">
        <v>25</v>
      </c>
      <c r="G385" s="2" t="n">
        <v>1</v>
      </c>
      <c r="H385" s="2" t="n">
        <v>842</v>
      </c>
      <c r="I385" s="2" t="s">
        <v>26</v>
      </c>
      <c r="J385" s="2" t="n">
        <v>0</v>
      </c>
      <c r="K385" s="2" t="n">
        <v>2.885</v>
      </c>
      <c r="L385" s="2" t="n">
        <v>17</v>
      </c>
      <c r="M385" s="2" t="s">
        <v>27</v>
      </c>
      <c r="N385" s="3" t="n">
        <v>39</v>
      </c>
      <c r="O385" s="3" t="n">
        <v>-11.4633</v>
      </c>
      <c r="P385" s="3" t="n">
        <v>162.051</v>
      </c>
      <c r="Q385" s="3" t="s">
        <v>585</v>
      </c>
      <c r="R385" s="2"/>
      <c r="S385" s="2"/>
      <c r="T385" s="4" t="n">
        <f aca="false">DATE(VALUE(MID(C385,7,4)),VALUE(MID(C385,4,2)),VALUE(MID(C385,1,2)))+TIME(VALUE(MID(C385,12,2)),VALUE(MID(C385,15,2)),0)</f>
        <v>41742.525</v>
      </c>
      <c r="U385" s="2" t="str">
        <f aca="false">IF(AND(ISNUMBER(VALUE(MID(A385,7,1))),ISNUMBER(SEARCH("km",A385)),ISNUMBER(SEARCH("of",A385))),"Distance-location","Named-region")</f>
        <v>Named-region</v>
      </c>
      <c r="V385" s="2" t="str">
        <f aca="false">LOWER(M385)</f>
        <v>mww</v>
      </c>
      <c r="W385" s="5" t="str">
        <f aca="false">IF(COUNTIFS($A$2:$A$1001,A385,$C$2:$C$1001,C385)&gt;1,"Duplicate","Unique")</f>
        <v>Unique</v>
      </c>
    </row>
    <row r="386" customFormat="false" ht="15" hidden="false" customHeight="false" outlineLevel="0" collapsed="false">
      <c r="A386" s="2" t="s">
        <v>1068</v>
      </c>
      <c r="B386" s="3" t="n">
        <v>7.6</v>
      </c>
      <c r="C386" s="2" t="s">
        <v>1069</v>
      </c>
      <c r="D386" s="2" t="n">
        <v>0</v>
      </c>
      <c r="E386" s="2" t="n">
        <v>7</v>
      </c>
      <c r="F386" s="2" t="s">
        <v>25</v>
      </c>
      <c r="G386" s="2" t="n">
        <v>1</v>
      </c>
      <c r="H386" s="2" t="n">
        <v>889</v>
      </c>
      <c r="I386" s="2" t="s">
        <v>26</v>
      </c>
      <c r="J386" s="2" t="n">
        <v>0</v>
      </c>
      <c r="K386" s="2" t="n">
        <v>2.828</v>
      </c>
      <c r="L386" s="2" t="n">
        <v>13</v>
      </c>
      <c r="M386" s="2" t="s">
        <v>27</v>
      </c>
      <c r="N386" s="3" t="n">
        <v>22.56</v>
      </c>
      <c r="O386" s="3" t="n">
        <v>-11.2701</v>
      </c>
      <c r="P386" s="3" t="n">
        <v>162.148</v>
      </c>
      <c r="Q386" s="3" t="s">
        <v>585</v>
      </c>
      <c r="R386" s="2"/>
      <c r="S386" s="2"/>
      <c r="T386" s="4" t="n">
        <f aca="false">DATE(VALUE(MID(C386,7,4)),VALUE(MID(C386,4,2)),VALUE(MID(C386,1,2)))+TIME(VALUE(MID(C386,12,2)),VALUE(MID(C386,15,2)),0)</f>
        <v>41741.8430555556</v>
      </c>
      <c r="U386" s="2" t="str">
        <f aca="false">IF(AND(ISNUMBER(VALUE(MID(A386,7,1))),ISNUMBER(SEARCH("km",A386)),ISNUMBER(SEARCH("of",A386))),"Distance-location","Named-region")</f>
        <v>Named-region</v>
      </c>
      <c r="V386" s="2" t="str">
        <f aca="false">LOWER(M386)</f>
        <v>mww</v>
      </c>
      <c r="W386" s="5" t="str">
        <f aca="false">IF(COUNTIFS($A$2:$A$1001,A386,$C$2:$C$1001,C386)&gt;1,"Duplicate","Unique")</f>
        <v>Unique</v>
      </c>
    </row>
    <row r="387" customFormat="false" ht="15" hidden="false" customHeight="false" outlineLevel="0" collapsed="false">
      <c r="A387" s="2" t="s">
        <v>1070</v>
      </c>
      <c r="B387" s="3" t="n">
        <v>6.6</v>
      </c>
      <c r="C387" s="2" t="s">
        <v>1071</v>
      </c>
      <c r="D387" s="2" t="n">
        <v>6</v>
      </c>
      <c r="E387" s="2" t="n">
        <v>5</v>
      </c>
      <c r="F387" s="2" t="s">
        <v>25</v>
      </c>
      <c r="G387" s="2" t="n">
        <v>1</v>
      </c>
      <c r="H387" s="2" t="n">
        <v>677</v>
      </c>
      <c r="I387" s="2" t="s">
        <v>26</v>
      </c>
      <c r="J387" s="2" t="n">
        <v>0</v>
      </c>
      <c r="K387" s="2" t="n">
        <v>0.761</v>
      </c>
      <c r="L387" s="2" t="n">
        <v>20</v>
      </c>
      <c r="M387" s="2" t="s">
        <v>27</v>
      </c>
      <c r="N387" s="3" t="n">
        <v>135</v>
      </c>
      <c r="O387" s="3" t="n">
        <v>11.642</v>
      </c>
      <c r="P387" s="3" t="n">
        <v>-85.8779</v>
      </c>
      <c r="Q387" s="3" t="s">
        <v>1072</v>
      </c>
      <c r="R387" s="2"/>
      <c r="S387" s="2" t="s">
        <v>1073</v>
      </c>
      <c r="T387" s="4" t="n">
        <f aca="false">DATE(VALUE(MID(C387,7,4)),VALUE(MID(C387,4,2)),VALUE(MID(C387,1,2)))+TIME(VALUE(MID(C387,12,2)),VALUE(MID(C387,15,2)),0)</f>
        <v>41740.8534722222</v>
      </c>
      <c r="U387" s="2" t="str">
        <f aca="false">IF(AND(ISNUMBER(VALUE(MID(A387,7,1))),ISNUMBER(SEARCH("km",A387)),ISNUMBER(SEARCH("of",A387))),"Distance-location","Named-region")</f>
        <v>Named-region</v>
      </c>
      <c r="V387" s="2" t="str">
        <f aca="false">LOWER(M387)</f>
        <v>mww</v>
      </c>
      <c r="W387" s="5" t="str">
        <f aca="false">IF(COUNTIFS($A$2:$A$1001,A387,$C$2:$C$1001,C387)&gt;1,"Duplicate","Unique")</f>
        <v>Unique</v>
      </c>
    </row>
    <row r="388" customFormat="false" ht="15" hidden="false" customHeight="false" outlineLevel="0" collapsed="false">
      <c r="A388" s="2" t="s">
        <v>1074</v>
      </c>
      <c r="B388" s="3" t="n">
        <v>6.5</v>
      </c>
      <c r="C388" s="2" t="s">
        <v>1075</v>
      </c>
      <c r="D388" s="2" t="n">
        <v>0</v>
      </c>
      <c r="E388" s="2" t="n">
        <v>6</v>
      </c>
      <c r="F388" s="2" t="s">
        <v>25</v>
      </c>
      <c r="G388" s="2" t="n">
        <v>1</v>
      </c>
      <c r="H388" s="2" t="n">
        <v>650</v>
      </c>
      <c r="I388" s="2" t="s">
        <v>26</v>
      </c>
      <c r="J388" s="2" t="n">
        <v>0</v>
      </c>
      <c r="K388" s="2" t="n">
        <v>3.787</v>
      </c>
      <c r="L388" s="2" t="n">
        <v>16</v>
      </c>
      <c r="M388" s="2" t="s">
        <v>27</v>
      </c>
      <c r="N388" s="3" t="n">
        <v>20</v>
      </c>
      <c r="O388" s="3" t="n">
        <v>-6.7878</v>
      </c>
      <c r="P388" s="3" t="n">
        <v>154.95</v>
      </c>
      <c r="Q388" s="3" t="s">
        <v>740</v>
      </c>
      <c r="R388" s="2"/>
      <c r="S388" s="2"/>
      <c r="T388" s="4" t="n">
        <f aca="false">DATE(VALUE(MID(C388,7,4)),VALUE(MID(C388,4,2)),VALUE(MID(C388,1,2)))+TIME(VALUE(MID(C388,12,2)),VALUE(MID(C388,15,2)),0)</f>
        <v>41740.3444444445</v>
      </c>
      <c r="U388" s="2" t="str">
        <f aca="false">IF(AND(ISNUMBER(VALUE(MID(A388,7,1))),ISNUMBER(SEARCH("km",A388)),ISNUMBER(SEARCH("of",A388))),"Distance-location","Named-region")</f>
        <v>Named-region</v>
      </c>
      <c r="V388" s="2" t="str">
        <f aca="false">LOWER(M388)</f>
        <v>mww</v>
      </c>
      <c r="W388" s="5" t="str">
        <f aca="false">IF(COUNTIFS($A$2:$A$1001,A388,$C$2:$C$1001,C388)&gt;1,"Duplicate","Unique")</f>
        <v>Unique</v>
      </c>
    </row>
    <row r="389" customFormat="false" ht="15" hidden="false" customHeight="false" outlineLevel="0" collapsed="false">
      <c r="A389" s="2" t="s">
        <v>1076</v>
      </c>
      <c r="B389" s="3" t="n">
        <v>7.1</v>
      </c>
      <c r="C389" s="2" t="s">
        <v>1077</v>
      </c>
      <c r="D389" s="2" t="n">
        <v>0</v>
      </c>
      <c r="E389" s="2" t="n">
        <v>7</v>
      </c>
      <c r="F389" s="2" t="s">
        <v>25</v>
      </c>
      <c r="G389" s="2" t="n">
        <v>1</v>
      </c>
      <c r="H389" s="2" t="n">
        <v>776</v>
      </c>
      <c r="I389" s="2" t="s">
        <v>26</v>
      </c>
      <c r="J389" s="2" t="n">
        <v>0</v>
      </c>
      <c r="K389" s="2" t="n">
        <v>3.729</v>
      </c>
      <c r="L389" s="2" t="n">
        <v>21</v>
      </c>
      <c r="M389" s="2" t="s">
        <v>27</v>
      </c>
      <c r="N389" s="3" t="n">
        <v>60.53</v>
      </c>
      <c r="O389" s="3" t="n">
        <v>-6.5858</v>
      </c>
      <c r="P389" s="3" t="n">
        <v>155.048</v>
      </c>
      <c r="Q389" s="3" t="s">
        <v>740</v>
      </c>
      <c r="R389" s="2"/>
      <c r="S389" s="2" t="s">
        <v>89</v>
      </c>
      <c r="T389" s="4" t="n">
        <f aca="false">DATE(VALUE(MID(C389,7,4)),VALUE(MID(C389,4,2)),VALUE(MID(C389,1,2)))+TIME(VALUE(MID(C389,12,2)),VALUE(MID(C389,15,2)),0)</f>
        <v>41740.2965277778</v>
      </c>
      <c r="U389" s="2" t="str">
        <f aca="false">IF(AND(ISNUMBER(VALUE(MID(A389,7,1))),ISNUMBER(SEARCH("km",A389)),ISNUMBER(SEARCH("of",A389))),"Distance-location","Named-region")</f>
        <v>Named-region</v>
      </c>
      <c r="V389" s="2" t="str">
        <f aca="false">LOWER(M389)</f>
        <v>mww</v>
      </c>
      <c r="W389" s="5" t="str">
        <f aca="false">IF(COUNTIFS($A$2:$A$1001,A389,$C$2:$C$1001,C389)&gt;1,"Duplicate","Unique")</f>
        <v>Unique</v>
      </c>
    </row>
    <row r="390" customFormat="false" ht="15" hidden="false" customHeight="false" outlineLevel="0" collapsed="false">
      <c r="A390" s="2" t="s">
        <v>1078</v>
      </c>
      <c r="B390" s="3" t="n">
        <v>7.7</v>
      </c>
      <c r="C390" s="2" t="s">
        <v>1079</v>
      </c>
      <c r="D390" s="2" t="n">
        <v>8</v>
      </c>
      <c r="E390" s="2" t="n">
        <v>9</v>
      </c>
      <c r="F390" s="2" t="s">
        <v>32</v>
      </c>
      <c r="G390" s="2" t="n">
        <v>1</v>
      </c>
      <c r="H390" s="2" t="n">
        <v>1057</v>
      </c>
      <c r="I390" s="2" t="s">
        <v>26</v>
      </c>
      <c r="J390" s="2" t="n">
        <v>0</v>
      </c>
      <c r="K390" s="2" t="n">
        <v>1.029</v>
      </c>
      <c r="L390" s="2" t="n">
        <v>44</v>
      </c>
      <c r="M390" s="2" t="s">
        <v>27</v>
      </c>
      <c r="N390" s="3" t="n">
        <v>22.4</v>
      </c>
      <c r="O390" s="3" t="n">
        <v>-20.5709</v>
      </c>
      <c r="P390" s="3" t="n">
        <v>-70.4931</v>
      </c>
      <c r="Q390" s="3" t="s">
        <v>1080</v>
      </c>
      <c r="R390" s="2"/>
      <c r="S390" s="2"/>
      <c r="T390" s="4" t="n">
        <f aca="false">DATE(VALUE(MID(C390,7,4)),VALUE(MID(C390,4,2)),VALUE(MID(C390,1,2)))+TIME(VALUE(MID(C390,12,2)),VALUE(MID(C390,15,2)),0)</f>
        <v>41732.1131944444</v>
      </c>
      <c r="U390" s="2" t="str">
        <f aca="false">IF(AND(ISNUMBER(VALUE(MID(A390,7,1))),ISNUMBER(SEARCH("km",A390)),ISNUMBER(SEARCH("of",A390))),"Distance-location","Named-region")</f>
        <v>Named-region</v>
      </c>
      <c r="V390" s="2" t="str">
        <f aca="false">LOWER(M390)</f>
        <v>mww</v>
      </c>
      <c r="W390" s="5" t="str">
        <f aca="false">IF(COUNTIFS($A$2:$A$1001,A390,$C$2:$C$1001,C390)&gt;1,"Duplicate","Unique")</f>
        <v>Unique</v>
      </c>
    </row>
    <row r="391" customFormat="false" ht="15" hidden="false" customHeight="false" outlineLevel="0" collapsed="false">
      <c r="A391" s="2" t="s">
        <v>1081</v>
      </c>
      <c r="B391" s="3" t="n">
        <v>6.5</v>
      </c>
      <c r="C391" s="2" t="s">
        <v>1082</v>
      </c>
      <c r="D391" s="2" t="n">
        <v>7</v>
      </c>
      <c r="E391" s="2" t="n">
        <v>7</v>
      </c>
      <c r="F391" s="2" t="s">
        <v>25</v>
      </c>
      <c r="G391" s="2" t="n">
        <v>0</v>
      </c>
      <c r="H391" s="2" t="n">
        <v>670</v>
      </c>
      <c r="I391" s="2" t="s">
        <v>26</v>
      </c>
      <c r="J391" s="2" t="n">
        <v>0</v>
      </c>
      <c r="K391" s="2" t="n">
        <v>0.828</v>
      </c>
      <c r="L391" s="2" t="n">
        <v>82</v>
      </c>
      <c r="M391" s="2" t="s">
        <v>27</v>
      </c>
      <c r="N391" s="3" t="n">
        <v>24.07</v>
      </c>
      <c r="O391" s="3" t="n">
        <v>-20.3113</v>
      </c>
      <c r="P391" s="3" t="n">
        <v>-70.5756</v>
      </c>
      <c r="Q391" s="3" t="s">
        <v>1080</v>
      </c>
      <c r="R391" s="2"/>
      <c r="S391" s="2"/>
      <c r="T391" s="4" t="n">
        <f aca="false">DATE(VALUE(MID(C391,7,4)),VALUE(MID(C391,4,2)),VALUE(MID(C391,1,2)))+TIME(VALUE(MID(C391,12,2)),VALUE(MID(C391,15,2)),0)</f>
        <v>41732.0819444444</v>
      </c>
      <c r="U391" s="2" t="str">
        <f aca="false">IF(AND(ISNUMBER(VALUE(MID(A391,7,1))),ISNUMBER(SEARCH("km",A391)),ISNUMBER(SEARCH("of",A391))),"Distance-location","Named-region")</f>
        <v>Named-region</v>
      </c>
      <c r="V391" s="2" t="str">
        <f aca="false">LOWER(M391)</f>
        <v>mww</v>
      </c>
      <c r="W391" s="5" t="str">
        <f aca="false">IF(COUNTIFS($A$2:$A$1001,A391,$C$2:$C$1001,C391)&gt;1,"Duplicate","Unique")</f>
        <v>Unique</v>
      </c>
    </row>
    <row r="392" customFormat="false" ht="15" hidden="false" customHeight="false" outlineLevel="0" collapsed="false">
      <c r="A392" s="2" t="s">
        <v>1083</v>
      </c>
      <c r="B392" s="3" t="n">
        <v>6.9</v>
      </c>
      <c r="C392" s="2" t="s">
        <v>1084</v>
      </c>
      <c r="D392" s="2" t="n">
        <v>0</v>
      </c>
      <c r="E392" s="2" t="n">
        <v>5</v>
      </c>
      <c r="F392" s="2" t="s">
        <v>25</v>
      </c>
      <c r="G392" s="2" t="n">
        <v>0</v>
      </c>
      <c r="H392" s="2" t="n">
        <v>732</v>
      </c>
      <c r="I392" s="2" t="s">
        <v>26</v>
      </c>
      <c r="J392" s="2" t="n">
        <v>0</v>
      </c>
      <c r="K392" s="2" t="n">
        <v>0.828</v>
      </c>
      <c r="L392" s="2" t="n">
        <v>119</v>
      </c>
      <c r="M392" s="2" t="s">
        <v>27</v>
      </c>
      <c r="N392" s="3" t="n">
        <v>28.42</v>
      </c>
      <c r="O392" s="3" t="n">
        <v>-19.8927</v>
      </c>
      <c r="P392" s="3" t="n">
        <v>-70.9455</v>
      </c>
      <c r="Q392" s="3" t="s">
        <v>1080</v>
      </c>
      <c r="R392" s="2"/>
      <c r="S392" s="2"/>
      <c r="T392" s="4" t="n">
        <f aca="false">DATE(VALUE(MID(C392,7,4)),VALUE(MID(C392,4,2)),VALUE(MID(C392,1,2)))+TIME(VALUE(MID(C392,12,2)),VALUE(MID(C392,15,2)),0)</f>
        <v>41730.9979166667</v>
      </c>
      <c r="U392" s="2" t="str">
        <f aca="false">IF(AND(ISNUMBER(VALUE(MID(A392,7,1))),ISNUMBER(SEARCH("km",A392)),ISNUMBER(SEARCH("of",A392))),"Distance-location","Named-region")</f>
        <v>Named-region</v>
      </c>
      <c r="V392" s="2" t="str">
        <f aca="false">LOWER(M392)</f>
        <v>mww</v>
      </c>
      <c r="W392" s="5" t="str">
        <f aca="false">IF(COUNTIFS($A$2:$A$1001,A392,$C$2:$C$1001,C392)&gt;1,"Duplicate","Unique")</f>
        <v>Unique</v>
      </c>
    </row>
    <row r="393" customFormat="false" ht="15" hidden="false" customHeight="false" outlineLevel="0" collapsed="false">
      <c r="A393" s="2" t="s">
        <v>1085</v>
      </c>
      <c r="B393" s="3" t="n">
        <v>8.2</v>
      </c>
      <c r="C393" s="2" t="s">
        <v>1086</v>
      </c>
      <c r="D393" s="2" t="n">
        <v>9</v>
      </c>
      <c r="E393" s="2" t="n">
        <v>8</v>
      </c>
      <c r="F393" s="2" t="s">
        <v>32</v>
      </c>
      <c r="G393" s="2" t="n">
        <v>1</v>
      </c>
      <c r="H393" s="2" t="n">
        <v>1332</v>
      </c>
      <c r="I393" s="2" t="s">
        <v>26</v>
      </c>
      <c r="J393" s="2" t="n">
        <v>0</v>
      </c>
      <c r="K393" s="2" t="n">
        <v>0.609</v>
      </c>
      <c r="L393" s="2" t="n">
        <v>23</v>
      </c>
      <c r="M393" s="2" t="s">
        <v>27</v>
      </c>
      <c r="N393" s="3" t="n">
        <v>25</v>
      </c>
      <c r="O393" s="3" t="n">
        <v>-19.6097</v>
      </c>
      <c r="P393" s="3" t="n">
        <v>-70.7691</v>
      </c>
      <c r="Q393" s="3" t="s">
        <v>1080</v>
      </c>
      <c r="R393" s="2"/>
      <c r="S393" s="2"/>
      <c r="T393" s="4" t="n">
        <f aca="false">DATE(VALUE(MID(C393,7,4)),VALUE(MID(C393,4,2)),VALUE(MID(C393,1,2)))+TIME(VALUE(MID(C393,12,2)),VALUE(MID(C393,15,2)),0)</f>
        <v>41730.9902777778</v>
      </c>
      <c r="U393" s="2" t="str">
        <f aca="false">IF(AND(ISNUMBER(VALUE(MID(A393,7,1))),ISNUMBER(SEARCH("km",A393)),ISNUMBER(SEARCH("of",A393))),"Distance-location","Named-region")</f>
        <v>Named-region</v>
      </c>
      <c r="V393" s="2" t="str">
        <f aca="false">LOWER(M393)</f>
        <v>mww</v>
      </c>
      <c r="W393" s="5" t="str">
        <f aca="false">IF(COUNTIFS($A$2:$A$1001,A393,$C$2:$C$1001,C393)&gt;1,"Duplicate","Unique")</f>
        <v>Unique</v>
      </c>
    </row>
    <row r="394" customFormat="false" ht="15" hidden="false" customHeight="false" outlineLevel="0" collapsed="false">
      <c r="A394" s="2" t="s">
        <v>1087</v>
      </c>
      <c r="B394" s="3" t="n">
        <v>6.7</v>
      </c>
      <c r="C394" s="2" t="s">
        <v>1088</v>
      </c>
      <c r="D394" s="2" t="n">
        <v>7</v>
      </c>
      <c r="E394" s="2" t="n">
        <v>7</v>
      </c>
      <c r="F394" s="2" t="s">
        <v>25</v>
      </c>
      <c r="G394" s="2" t="n">
        <v>1</v>
      </c>
      <c r="H394" s="2" t="n">
        <v>718</v>
      </c>
      <c r="I394" s="2" t="s">
        <v>26</v>
      </c>
      <c r="J394" s="2" t="n">
        <v>0</v>
      </c>
      <c r="K394" s="2" t="n">
        <v>1.008</v>
      </c>
      <c r="L394" s="2" t="n">
        <v>44</v>
      </c>
      <c r="M394" s="2" t="s">
        <v>27</v>
      </c>
      <c r="N394" s="3" t="n">
        <v>20</v>
      </c>
      <c r="O394" s="3" t="n">
        <v>-19.9807</v>
      </c>
      <c r="P394" s="3" t="n">
        <v>-70.7022</v>
      </c>
      <c r="Q394" s="3" t="s">
        <v>1080</v>
      </c>
      <c r="R394" s="2"/>
      <c r="S394" s="2"/>
      <c r="T394" s="4" t="n">
        <f aca="false">DATE(VALUE(MID(C394,7,4)),VALUE(MID(C394,4,2)),VALUE(MID(C394,1,2)))+TIME(VALUE(MID(C394,12,2)),VALUE(MID(C394,15,2)),0)</f>
        <v>41714.8861111111</v>
      </c>
      <c r="U394" s="2" t="str">
        <f aca="false">IF(AND(ISNUMBER(VALUE(MID(A394,7,1))),ISNUMBER(SEARCH("km",A394)),ISNUMBER(SEARCH("of",A394))),"Distance-location","Named-region")</f>
        <v>Named-region</v>
      </c>
      <c r="V394" s="2" t="str">
        <f aca="false">LOWER(M394)</f>
        <v>mww</v>
      </c>
      <c r="W394" s="5" t="str">
        <f aca="false">IF(COUNTIFS($A$2:$A$1001,A394,$C$2:$C$1001,C394)&gt;1,"Duplicate","Unique")</f>
        <v>Unique</v>
      </c>
    </row>
    <row r="395" customFormat="false" ht="15" hidden="false" customHeight="false" outlineLevel="0" collapsed="false">
      <c r="A395" s="2" t="s">
        <v>1089</v>
      </c>
      <c r="B395" s="3" t="n">
        <v>6.8</v>
      </c>
      <c r="C395" s="2" t="s">
        <v>1090</v>
      </c>
      <c r="D395" s="2" t="n">
        <v>5</v>
      </c>
      <c r="E395" s="2" t="n">
        <v>5</v>
      </c>
      <c r="F395" s="2" t="s">
        <v>25</v>
      </c>
      <c r="G395" s="2" t="n">
        <v>1</v>
      </c>
      <c r="H395" s="2" t="n">
        <v>1211</v>
      </c>
      <c r="I395" s="2" t="s">
        <v>1091</v>
      </c>
      <c r="J395" s="2" t="n">
        <v>112</v>
      </c>
      <c r="K395" s="2" t="n">
        <v>0.6568</v>
      </c>
      <c r="L395" s="2" t="n">
        <v>229</v>
      </c>
      <c r="M395" s="2" t="s">
        <v>489</v>
      </c>
      <c r="N395" s="3" t="n">
        <v>16.441</v>
      </c>
      <c r="O395" s="3" t="n">
        <v>40.8287</v>
      </c>
      <c r="P395" s="3" t="n">
        <v>-125.134</v>
      </c>
      <c r="Q395" s="3" t="s">
        <v>1092</v>
      </c>
      <c r="R395" s="2"/>
      <c r="S395" s="2"/>
      <c r="T395" s="4" t="n">
        <f aca="false">DATE(VALUE(MID(C395,7,4)),VALUE(MID(C395,4,2)),VALUE(MID(C395,1,2)))+TIME(VALUE(MID(C395,12,2)),VALUE(MID(C395,15,2)),0)</f>
        <v>41708.2208333333</v>
      </c>
      <c r="U395" s="2" t="str">
        <f aca="false">IF(AND(ISNUMBER(VALUE(MID(A395,7,1))),ISNUMBER(SEARCH("km",A395)),ISNUMBER(SEARCH("of",A395))),"Distance-location","Named-region")</f>
        <v>Named-region</v>
      </c>
      <c r="V395" s="2" t="str">
        <f aca="false">LOWER(M395)</f>
        <v>mw</v>
      </c>
      <c r="W395" s="5" t="str">
        <f aca="false">IF(COUNTIFS($A$2:$A$1001,A395,$C$2:$C$1001,C395)&gt;1,"Duplicate","Unique")</f>
        <v>Unique</v>
      </c>
    </row>
    <row r="396" customFormat="false" ht="15" hidden="false" customHeight="false" outlineLevel="0" collapsed="false">
      <c r="A396" s="2" t="s">
        <v>1093</v>
      </c>
      <c r="B396" s="3" t="n">
        <v>6.5</v>
      </c>
      <c r="C396" s="2" t="s">
        <v>1094</v>
      </c>
      <c r="D396" s="2" t="n">
        <v>4</v>
      </c>
      <c r="E396" s="2" t="n">
        <v>5</v>
      </c>
      <c r="F396" s="2" t="s">
        <v>25</v>
      </c>
      <c r="G396" s="2" t="n">
        <v>1</v>
      </c>
      <c r="H396" s="2" t="n">
        <v>668</v>
      </c>
      <c r="I396" s="2" t="s">
        <v>26</v>
      </c>
      <c r="J396" s="2" t="n">
        <v>0</v>
      </c>
      <c r="K396" s="2" t="n">
        <v>1.001</v>
      </c>
      <c r="L396" s="2" t="n">
        <v>17</v>
      </c>
      <c r="M396" s="2" t="s">
        <v>27</v>
      </c>
      <c r="N396" s="3" t="n">
        <v>119</v>
      </c>
      <c r="O396" s="3" t="n">
        <v>27.4312</v>
      </c>
      <c r="P396" s="3" t="n">
        <v>127.367</v>
      </c>
      <c r="Q396" s="3" t="s">
        <v>1095</v>
      </c>
      <c r="R396" s="2"/>
      <c r="S396" s="2"/>
      <c r="T396" s="4" t="n">
        <f aca="false">DATE(VALUE(MID(C396,7,4)),VALUE(MID(C396,4,2)),VALUE(MID(C396,1,2)))+TIME(VALUE(MID(C396,12,2)),VALUE(MID(C396,15,2)),0)</f>
        <v>41700.8409722222</v>
      </c>
      <c r="U396" s="2" t="str">
        <f aca="false">IF(AND(ISNUMBER(VALUE(MID(A396,7,1))),ISNUMBER(SEARCH("km",A396)),ISNUMBER(SEARCH("of",A396))),"Distance-location","Named-region")</f>
        <v>Named-region</v>
      </c>
      <c r="V396" s="2" t="str">
        <f aca="false">LOWER(M396)</f>
        <v>mww</v>
      </c>
      <c r="W396" s="5" t="str">
        <f aca="false">IF(COUNTIFS($A$2:$A$1001,A396,$C$2:$C$1001,C396)&gt;1,"Duplicate","Unique")</f>
        <v>Unique</v>
      </c>
    </row>
    <row r="397" customFormat="false" ht="15" hidden="false" customHeight="false" outlineLevel="0" collapsed="false">
      <c r="A397" s="2" t="s">
        <v>1096</v>
      </c>
      <c r="B397" s="3" t="n">
        <v>6.5</v>
      </c>
      <c r="C397" s="2" t="s">
        <v>1097</v>
      </c>
      <c r="D397" s="2" t="n">
        <v>5</v>
      </c>
      <c r="E397" s="2" t="n">
        <v>4</v>
      </c>
      <c r="F397" s="2" t="s">
        <v>25</v>
      </c>
      <c r="G397" s="2" t="n">
        <v>1</v>
      </c>
      <c r="H397" s="2" t="n">
        <v>681</v>
      </c>
      <c r="I397" s="2" t="s">
        <v>26</v>
      </c>
      <c r="J397" s="2" t="n">
        <v>0</v>
      </c>
      <c r="K397" s="2" t="n">
        <v>1.635</v>
      </c>
      <c r="L397" s="2" t="n">
        <v>30</v>
      </c>
      <c r="M397" s="2" t="s">
        <v>27</v>
      </c>
      <c r="N397" s="3" t="n">
        <v>14.83</v>
      </c>
      <c r="O397" s="3" t="n">
        <v>14.6682</v>
      </c>
      <c r="P397" s="3" t="n">
        <v>-58.9272</v>
      </c>
      <c r="Q397" s="3" t="s">
        <v>1098</v>
      </c>
      <c r="R397" s="2"/>
      <c r="S397" s="2"/>
      <c r="T397" s="4" t="n">
        <f aca="false">DATE(VALUE(MID(C397,7,4)),VALUE(MID(C397,4,2)),VALUE(MID(C397,1,2)))+TIME(VALUE(MID(C397,12,2)),VALUE(MID(C397,15,2)),0)</f>
        <v>41688.39375</v>
      </c>
      <c r="U397" s="2" t="str">
        <f aca="false">IF(AND(ISNUMBER(VALUE(MID(A397,7,1))),ISNUMBER(SEARCH("km",A397)),ISNUMBER(SEARCH("of",A397))),"Distance-location","Named-region")</f>
        <v>Named-region</v>
      </c>
      <c r="V397" s="2" t="str">
        <f aca="false">LOWER(M397)</f>
        <v>mww</v>
      </c>
      <c r="W397" s="5" t="str">
        <f aca="false">IF(COUNTIFS($A$2:$A$1001,A397,$C$2:$C$1001,C397)&gt;1,"Duplicate","Unique")</f>
        <v>Unique</v>
      </c>
    </row>
    <row r="398" customFormat="false" ht="15" hidden="false" customHeight="false" outlineLevel="0" collapsed="false">
      <c r="A398" s="2" t="s">
        <v>1099</v>
      </c>
      <c r="B398" s="3" t="n">
        <v>6.9</v>
      </c>
      <c r="C398" s="2" t="s">
        <v>1100</v>
      </c>
      <c r="D398" s="2" t="n">
        <v>3</v>
      </c>
      <c r="E398" s="2" t="n">
        <v>8</v>
      </c>
      <c r="F398" s="2" t="s">
        <v>32</v>
      </c>
      <c r="G398" s="2" t="n">
        <v>0</v>
      </c>
      <c r="H398" s="2" t="n">
        <v>733</v>
      </c>
      <c r="I398" s="2" t="s">
        <v>26</v>
      </c>
      <c r="J398" s="2" t="n">
        <v>0</v>
      </c>
      <c r="K398" s="2" t="n">
        <v>7.496</v>
      </c>
      <c r="L398" s="2" t="n">
        <v>18</v>
      </c>
      <c r="M398" s="2" t="s">
        <v>27</v>
      </c>
      <c r="N398" s="3" t="n">
        <v>10</v>
      </c>
      <c r="O398" s="3" t="n">
        <v>35.9053</v>
      </c>
      <c r="P398" s="3" t="n">
        <v>82.5864</v>
      </c>
      <c r="Q398" s="3" t="s">
        <v>1101</v>
      </c>
      <c r="R398" s="2" t="s">
        <v>84</v>
      </c>
      <c r="S398" s="2" t="s">
        <v>188</v>
      </c>
      <c r="T398" s="4" t="n">
        <f aca="false">DATE(VALUE(MID(C398,7,4)),VALUE(MID(C398,4,2)),VALUE(MID(C398,1,2)))+TIME(VALUE(MID(C398,12,2)),VALUE(MID(C398,15,2)),0)</f>
        <v>41682.3881944444</v>
      </c>
      <c r="U398" s="2" t="str">
        <f aca="false">IF(AND(ISNUMBER(VALUE(MID(A398,7,1))),ISNUMBER(SEARCH("km",A398)),ISNUMBER(SEARCH("of",A398))),"Distance-location","Named-region")</f>
        <v>Named-region</v>
      </c>
      <c r="V398" s="2" t="str">
        <f aca="false">LOWER(M398)</f>
        <v>mww</v>
      </c>
      <c r="W398" s="5" t="str">
        <f aca="false">IF(COUNTIFS($A$2:$A$1001,A398,$C$2:$C$1001,C398)&gt;1,"Duplicate","Unique")</f>
        <v>Unique</v>
      </c>
    </row>
    <row r="399" customFormat="false" ht="15" hidden="false" customHeight="false" outlineLevel="0" collapsed="false">
      <c r="A399" s="2" t="s">
        <v>1102</v>
      </c>
      <c r="B399" s="3" t="n">
        <v>6.5</v>
      </c>
      <c r="C399" s="2" t="s">
        <v>1103</v>
      </c>
      <c r="D399" s="2" t="n">
        <v>0</v>
      </c>
      <c r="E399" s="2" t="n">
        <v>5</v>
      </c>
      <c r="F399" s="2" t="s">
        <v>25</v>
      </c>
      <c r="G399" s="2" t="n">
        <v>1</v>
      </c>
      <c r="H399" s="2" t="n">
        <v>650</v>
      </c>
      <c r="I399" s="2" t="s">
        <v>26</v>
      </c>
      <c r="J399" s="2" t="n">
        <v>0</v>
      </c>
      <c r="K399" s="2" t="n">
        <v>0.409</v>
      </c>
      <c r="L399" s="2" t="n">
        <v>20</v>
      </c>
      <c r="M399" s="2" t="s">
        <v>27</v>
      </c>
      <c r="N399" s="3" t="n">
        <v>122</v>
      </c>
      <c r="O399" s="3" t="n">
        <v>-15.0691</v>
      </c>
      <c r="P399" s="3" t="n">
        <v>167.372</v>
      </c>
      <c r="Q399" s="3" t="s">
        <v>108</v>
      </c>
      <c r="R399" s="2"/>
      <c r="S399" s="2" t="s">
        <v>29</v>
      </c>
      <c r="T399" s="4" t="n">
        <f aca="false">DATE(VALUE(MID(C399,7,4)),VALUE(MID(C399,4,2)),VALUE(MID(C399,1,2)))+TIME(VALUE(MID(C399,12,2)),VALUE(MID(C399,15,2)),0)</f>
        <v>41677.3611111111</v>
      </c>
      <c r="U399" s="2" t="str">
        <f aca="false">IF(AND(ISNUMBER(VALUE(MID(A399,7,1))),ISNUMBER(SEARCH("km",A399)),ISNUMBER(SEARCH("of",A399))),"Distance-location","Named-region")</f>
        <v>Named-region</v>
      </c>
      <c r="V399" s="2" t="str">
        <f aca="false">LOWER(M399)</f>
        <v>mww</v>
      </c>
      <c r="W399" s="5" t="str">
        <f aca="false">IF(COUNTIFS($A$2:$A$1001,A399,$C$2:$C$1001,C399)&gt;1,"Duplicate","Unique")</f>
        <v>Unique</v>
      </c>
    </row>
    <row r="400" customFormat="false" ht="15" hidden="false" customHeight="false" outlineLevel="0" collapsed="false">
      <c r="A400" s="2" t="s">
        <v>1104</v>
      </c>
      <c r="B400" s="3" t="n">
        <v>6.5</v>
      </c>
      <c r="C400" s="2" t="s">
        <v>1105</v>
      </c>
      <c r="D400" s="2" t="n">
        <v>0</v>
      </c>
      <c r="E400" s="2" t="n">
        <v>3</v>
      </c>
      <c r="F400" s="2" t="s">
        <v>25</v>
      </c>
      <c r="G400" s="2" t="n">
        <v>1</v>
      </c>
      <c r="H400" s="2" t="n">
        <v>650</v>
      </c>
      <c r="I400" s="2" t="s">
        <v>26</v>
      </c>
      <c r="J400" s="2" t="n">
        <v>0</v>
      </c>
      <c r="K400" s="2" t="n">
        <v>3.651</v>
      </c>
      <c r="L400" s="2" t="n">
        <v>22</v>
      </c>
      <c r="M400" s="2" t="s">
        <v>27</v>
      </c>
      <c r="N400" s="3" t="n">
        <v>44.26</v>
      </c>
      <c r="O400" s="3" t="n">
        <v>-32.9076</v>
      </c>
      <c r="P400" s="3" t="n">
        <v>-177.881</v>
      </c>
      <c r="Q400" s="3" t="s">
        <v>191</v>
      </c>
      <c r="R400" s="2"/>
      <c r="S400" s="2"/>
      <c r="T400" s="4" t="n">
        <f aca="false">DATE(VALUE(MID(C400,7,4)),VALUE(MID(C400,4,2)),VALUE(MID(C400,1,2)))+TIME(VALUE(MID(C400,12,2)),VALUE(MID(C400,15,2)),0)</f>
        <v>41672.3930555556</v>
      </c>
      <c r="U400" s="2" t="str">
        <f aca="false">IF(AND(ISNUMBER(VALUE(MID(A400,7,1))),ISNUMBER(SEARCH("km",A400)),ISNUMBER(SEARCH("of",A400))),"Distance-location","Named-region")</f>
        <v>Named-region</v>
      </c>
      <c r="V400" s="2" t="str">
        <f aca="false">LOWER(M400)</f>
        <v>mww</v>
      </c>
      <c r="W400" s="5" t="str">
        <f aca="false">IF(COUNTIFS($A$2:$A$1001,A400,$C$2:$C$1001,C400)&gt;1,"Duplicate","Unique")</f>
        <v>Unique</v>
      </c>
    </row>
    <row r="401" customFormat="false" ht="15" hidden="false" customHeight="false" outlineLevel="0" collapsed="false">
      <c r="A401" s="2" t="s">
        <v>1106</v>
      </c>
      <c r="B401" s="3" t="n">
        <v>6.5</v>
      </c>
      <c r="C401" s="2" t="s">
        <v>1107</v>
      </c>
      <c r="D401" s="2" t="n">
        <v>0</v>
      </c>
      <c r="E401" s="2" t="n">
        <v>4</v>
      </c>
      <c r="F401" s="2" t="s">
        <v>25</v>
      </c>
      <c r="G401" s="2" t="n">
        <v>1</v>
      </c>
      <c r="H401" s="2" t="n">
        <v>650</v>
      </c>
      <c r="I401" s="2" t="s">
        <v>26</v>
      </c>
      <c r="J401" s="2" t="n">
        <v>0</v>
      </c>
      <c r="K401" s="2" t="n">
        <v>3.997</v>
      </c>
      <c r="L401" s="2" t="n">
        <v>14</v>
      </c>
      <c r="M401" s="2" t="s">
        <v>27</v>
      </c>
      <c r="N401" s="3" t="n">
        <v>187</v>
      </c>
      <c r="O401" s="3" t="n">
        <v>-13.8633</v>
      </c>
      <c r="P401" s="3" t="n">
        <v>167.249</v>
      </c>
      <c r="Q401" s="3" t="s">
        <v>28</v>
      </c>
      <c r="R401" s="2"/>
      <c r="S401" s="2" t="s">
        <v>29</v>
      </c>
      <c r="T401" s="4" t="n">
        <f aca="false">DATE(VALUE(MID(C401,7,4)),VALUE(MID(C401,4,2)),VALUE(MID(C401,1,2)))+TIME(VALUE(MID(C401,12,2)),VALUE(MID(C401,15,2)),0)</f>
        <v>41640.66875</v>
      </c>
      <c r="U401" s="2" t="str">
        <f aca="false">IF(AND(ISNUMBER(VALUE(MID(A401,7,1))),ISNUMBER(SEARCH("km",A401)),ISNUMBER(SEARCH("of",A401))),"Distance-location","Named-region")</f>
        <v>Named-region</v>
      </c>
      <c r="V401" s="2" t="str">
        <f aca="false">LOWER(M401)</f>
        <v>mww</v>
      </c>
      <c r="W401" s="5" t="str">
        <f aca="false">IF(COUNTIFS($A$2:$A$1001,A401,$C$2:$C$1001,C401)&gt;1,"Duplicate","Unique")</f>
        <v>Unique</v>
      </c>
    </row>
    <row r="402" customFormat="false" ht="15" hidden="false" customHeight="false" outlineLevel="0" collapsed="false">
      <c r="A402" s="2" t="s">
        <v>1108</v>
      </c>
      <c r="B402" s="3" t="n">
        <v>6.5</v>
      </c>
      <c r="C402" s="2" t="s">
        <v>1109</v>
      </c>
      <c r="D402" s="2" t="n">
        <v>3</v>
      </c>
      <c r="E402" s="2" t="n">
        <v>4</v>
      </c>
      <c r="F402" s="2" t="s">
        <v>25</v>
      </c>
      <c r="G402" s="2" t="n">
        <v>0</v>
      </c>
      <c r="H402" s="2" t="n">
        <v>651</v>
      </c>
      <c r="I402" s="2" t="s">
        <v>26</v>
      </c>
      <c r="J402" s="2" t="n">
        <v>0</v>
      </c>
      <c r="K402" s="2" t="n">
        <v>5.194</v>
      </c>
      <c r="L402" s="2" t="n">
        <v>22</v>
      </c>
      <c r="M402" s="2" t="s">
        <v>27</v>
      </c>
      <c r="N402" s="3" t="n">
        <v>371</v>
      </c>
      <c r="O402" s="3" t="n">
        <v>-17.1171</v>
      </c>
      <c r="P402" s="3" t="n">
        <v>-176.545</v>
      </c>
      <c r="Q402" s="3" t="s">
        <v>796</v>
      </c>
      <c r="R402" s="2"/>
      <c r="S402" s="2"/>
      <c r="T402" s="4" t="n">
        <f aca="false">DATE(VALUE(MID(C402,7,4)),VALUE(MID(C402,4,2)),VALUE(MID(C402,1,2)))+TIME(VALUE(MID(C402,12,2)),VALUE(MID(C402,15,2)),0)</f>
        <v>41601.325</v>
      </c>
      <c r="U402" s="2" t="str">
        <f aca="false">IF(AND(ISNUMBER(VALUE(MID(A402,7,1))),ISNUMBER(SEARCH("km",A402)),ISNUMBER(SEARCH("of",A402))),"Distance-location","Named-region")</f>
        <v>Named-region</v>
      </c>
      <c r="V402" s="2" t="str">
        <f aca="false">LOWER(M402)</f>
        <v>mww</v>
      </c>
      <c r="W402" s="5" t="str">
        <f aca="false">IF(COUNTIFS($A$2:$A$1001,A402,$C$2:$C$1001,C402)&gt;1,"Duplicate","Unique")</f>
        <v>Unique</v>
      </c>
    </row>
    <row r="403" customFormat="false" ht="28.35" hidden="false" customHeight="false" outlineLevel="0" collapsed="false">
      <c r="A403" s="2" t="s">
        <v>1110</v>
      </c>
      <c r="B403" s="3" t="n">
        <v>7.7</v>
      </c>
      <c r="C403" s="2" t="s">
        <v>1111</v>
      </c>
      <c r="D403" s="2" t="n">
        <v>1</v>
      </c>
      <c r="E403" s="2" t="n">
        <v>8</v>
      </c>
      <c r="F403" s="2" t="s">
        <v>25</v>
      </c>
      <c r="G403" s="2" t="n">
        <v>1</v>
      </c>
      <c r="H403" s="2" t="n">
        <v>912</v>
      </c>
      <c r="I403" s="2" t="s">
        <v>26</v>
      </c>
      <c r="J403" s="2" t="n">
        <v>0</v>
      </c>
      <c r="K403" s="2" t="n">
        <v>8.05</v>
      </c>
      <c r="L403" s="2" t="n">
        <v>23</v>
      </c>
      <c r="M403" s="2" t="s">
        <v>27</v>
      </c>
      <c r="N403" s="3" t="n">
        <v>10</v>
      </c>
      <c r="O403" s="3" t="n">
        <v>-60.2738</v>
      </c>
      <c r="P403" s="3" t="n">
        <v>-46.4011</v>
      </c>
      <c r="Q403" s="3" t="s">
        <v>1112</v>
      </c>
      <c r="R403" s="2"/>
      <c r="S403" s="2" t="s">
        <v>468</v>
      </c>
      <c r="T403" s="4" t="n">
        <f aca="false">DATE(VALUE(MID(C403,7,4)),VALUE(MID(C403,4,2)),VALUE(MID(C403,1,2)))+TIME(VALUE(MID(C403,12,2)),VALUE(MID(C403,15,2)),0)</f>
        <v>41595.3777777778</v>
      </c>
      <c r="U403" s="2" t="str">
        <f aca="false">IF(AND(ISNUMBER(VALUE(MID(A403,7,1))),ISNUMBER(SEARCH("km",A403)),ISNUMBER(SEARCH("of",A403))),"Distance-location","Named-region")</f>
        <v>Named-region</v>
      </c>
      <c r="V403" s="2" t="str">
        <f aca="false">LOWER(M403)</f>
        <v>mww</v>
      </c>
      <c r="W403" s="5" t="str">
        <f aca="false">IF(COUNTIFS($A$2:$A$1001,A403,$C$2:$C$1001,C403)&gt;1,"Duplicate","Unique")</f>
        <v>Unique</v>
      </c>
    </row>
    <row r="404" customFormat="false" ht="28.35" hidden="false" customHeight="false" outlineLevel="0" collapsed="false">
      <c r="A404" s="2" t="s">
        <v>1113</v>
      </c>
      <c r="B404" s="3" t="n">
        <v>6.9</v>
      </c>
      <c r="C404" s="2" t="s">
        <v>1114</v>
      </c>
      <c r="D404" s="2" t="n">
        <v>0</v>
      </c>
      <c r="E404" s="2" t="n">
        <v>5</v>
      </c>
      <c r="F404" s="2" t="s">
        <v>25</v>
      </c>
      <c r="G404" s="2" t="n">
        <v>1</v>
      </c>
      <c r="H404" s="2" t="n">
        <v>732</v>
      </c>
      <c r="I404" s="2" t="s">
        <v>26</v>
      </c>
      <c r="J404" s="2" t="n">
        <v>0</v>
      </c>
      <c r="K404" s="2" t="n">
        <v>8.284</v>
      </c>
      <c r="L404" s="2" t="n">
        <v>17</v>
      </c>
      <c r="M404" s="2" t="s">
        <v>27</v>
      </c>
      <c r="N404" s="3" t="n">
        <v>9.97</v>
      </c>
      <c r="O404" s="3" t="n">
        <v>-60.2627</v>
      </c>
      <c r="P404" s="3" t="n">
        <v>-47.0621</v>
      </c>
      <c r="Q404" s="3" t="s">
        <v>1112</v>
      </c>
      <c r="R404" s="2"/>
      <c r="S404" s="2" t="s">
        <v>468</v>
      </c>
      <c r="T404" s="4" t="n">
        <f aca="false">DATE(VALUE(MID(C404,7,4)),VALUE(MID(C404,4,2)),VALUE(MID(C404,1,2)))+TIME(VALUE(MID(C404,12,2)),VALUE(MID(C404,15,2)),0)</f>
        <v>41594.1486111111</v>
      </c>
      <c r="U404" s="2" t="str">
        <f aca="false">IF(AND(ISNUMBER(VALUE(MID(A404,7,1))),ISNUMBER(SEARCH("km",A404)),ISNUMBER(SEARCH("of",A404))),"Distance-location","Named-region")</f>
        <v>Named-region</v>
      </c>
      <c r="V404" s="2" t="str">
        <f aca="false">LOWER(M404)</f>
        <v>mww</v>
      </c>
      <c r="W404" s="5" t="str">
        <f aca="false">IF(COUNTIFS($A$2:$A$1001,A404,$C$2:$C$1001,C404)&gt;1,"Duplicate","Unique")</f>
        <v>Unique</v>
      </c>
    </row>
    <row r="405" customFormat="false" ht="15" hidden="false" customHeight="false" outlineLevel="0" collapsed="false">
      <c r="A405" s="2" t="s">
        <v>1115</v>
      </c>
      <c r="B405" s="3" t="n">
        <v>6.6</v>
      </c>
      <c r="C405" s="2" t="s">
        <v>1116</v>
      </c>
      <c r="D405" s="2" t="n">
        <v>6</v>
      </c>
      <c r="E405" s="2" t="n">
        <v>7</v>
      </c>
      <c r="F405" s="2" t="s">
        <v>25</v>
      </c>
      <c r="G405" s="2" t="n">
        <v>1</v>
      </c>
      <c r="H405" s="2" t="n">
        <v>723</v>
      </c>
      <c r="I405" s="2" t="s">
        <v>26</v>
      </c>
      <c r="J405" s="2" t="n">
        <v>0</v>
      </c>
      <c r="K405" s="2" t="n">
        <v>0.636</v>
      </c>
      <c r="L405" s="2" t="n">
        <v>31</v>
      </c>
      <c r="M405" s="2" t="s">
        <v>27</v>
      </c>
      <c r="N405" s="3" t="n">
        <v>27</v>
      </c>
      <c r="O405" s="3" t="n">
        <v>-30.2921</v>
      </c>
      <c r="P405" s="3" t="n">
        <v>-71.5215</v>
      </c>
      <c r="Q405" s="3" t="s">
        <v>527</v>
      </c>
      <c r="R405" s="2" t="s">
        <v>37</v>
      </c>
      <c r="S405" s="2" t="s">
        <v>377</v>
      </c>
      <c r="T405" s="4" t="n">
        <f aca="false">DATE(VALUE(MID(C405,7,4)),VALUE(MID(C405,4,2)),VALUE(MID(C405,1,2)))+TIME(VALUE(MID(C405,12,2)),VALUE(MID(C405,15,2)),0)</f>
        <v>41578.9604166667</v>
      </c>
      <c r="U405" s="2" t="str">
        <f aca="false">IF(AND(ISNUMBER(VALUE(MID(A405,7,1))),ISNUMBER(SEARCH("km",A405)),ISNUMBER(SEARCH("of",A405))),"Distance-location","Named-region")</f>
        <v>Named-region</v>
      </c>
      <c r="V405" s="2" t="str">
        <f aca="false">LOWER(M405)</f>
        <v>mww</v>
      </c>
      <c r="W405" s="5" t="str">
        <f aca="false">IF(COUNTIFS($A$2:$A$1001,A405,$C$2:$C$1001,C405)&gt;1,"Duplicate","Unique")</f>
        <v>Unique</v>
      </c>
    </row>
    <row r="406" customFormat="false" ht="15" hidden="false" customHeight="false" outlineLevel="0" collapsed="false">
      <c r="A406" s="2" t="s">
        <v>1117</v>
      </c>
      <c r="B406" s="3" t="n">
        <v>7.1</v>
      </c>
      <c r="C406" s="2" t="s">
        <v>1118</v>
      </c>
      <c r="D406" s="2" t="n">
        <v>6</v>
      </c>
      <c r="E406" s="2" t="n">
        <v>4</v>
      </c>
      <c r="F406" s="2" t="s">
        <v>25</v>
      </c>
      <c r="G406" s="2" t="n">
        <v>1</v>
      </c>
      <c r="H406" s="2" t="n">
        <v>872</v>
      </c>
      <c r="I406" s="2" t="s">
        <v>26</v>
      </c>
      <c r="J406" s="2" t="n">
        <v>0</v>
      </c>
      <c r="K406" s="2" t="n">
        <v>3.968</v>
      </c>
      <c r="L406" s="2" t="n">
        <v>10</v>
      </c>
      <c r="M406" s="2" t="s">
        <v>27</v>
      </c>
      <c r="N406" s="3" t="n">
        <v>35</v>
      </c>
      <c r="O406" s="3" t="n">
        <v>37.1557</v>
      </c>
      <c r="P406" s="3" t="n">
        <v>144.661</v>
      </c>
      <c r="Q406" s="3" t="s">
        <v>1119</v>
      </c>
      <c r="R406" s="2"/>
      <c r="S406" s="2"/>
      <c r="T406" s="4" t="n">
        <f aca="false">DATE(VALUE(MID(C406,7,4)),VALUE(MID(C406,4,2)),VALUE(MID(C406,1,2)))+TIME(VALUE(MID(C406,12,2)),VALUE(MID(C406,15,2)),0)</f>
        <v>41572.7152777778</v>
      </c>
      <c r="U406" s="2" t="str">
        <f aca="false">IF(AND(ISNUMBER(VALUE(MID(A406,7,1))),ISNUMBER(SEARCH("km",A406)),ISNUMBER(SEARCH("of",A406))),"Distance-location","Named-region")</f>
        <v>Named-region</v>
      </c>
      <c r="V406" s="2" t="str">
        <f aca="false">LOWER(M406)</f>
        <v>mww</v>
      </c>
      <c r="W406" s="5" t="str">
        <f aca="false">IF(COUNTIFS($A$2:$A$1001,A406,$C$2:$C$1001,C406)&gt;1,"Duplicate","Unique")</f>
        <v>Unique</v>
      </c>
    </row>
    <row r="407" customFormat="false" ht="15" hidden="false" customHeight="false" outlineLevel="0" collapsed="false">
      <c r="A407" s="2" t="s">
        <v>1120</v>
      </c>
      <c r="B407" s="3" t="n">
        <v>6.6</v>
      </c>
      <c r="C407" s="2" t="s">
        <v>1121</v>
      </c>
      <c r="D407" s="2" t="n">
        <v>8</v>
      </c>
      <c r="E407" s="2" t="n">
        <v>5</v>
      </c>
      <c r="F407" s="2" t="s">
        <v>25</v>
      </c>
      <c r="G407" s="2" t="n">
        <v>1</v>
      </c>
      <c r="H407" s="2" t="n">
        <v>692</v>
      </c>
      <c r="I407" s="2" t="s">
        <v>26</v>
      </c>
      <c r="J407" s="2" t="n">
        <v>0</v>
      </c>
      <c r="K407" s="2" t="n">
        <v>1.98</v>
      </c>
      <c r="L407" s="2" t="n">
        <v>44</v>
      </c>
      <c r="M407" s="2" t="s">
        <v>27</v>
      </c>
      <c r="N407" s="3" t="n">
        <v>9.45</v>
      </c>
      <c r="O407" s="3" t="n">
        <v>26.0913</v>
      </c>
      <c r="P407" s="3" t="n">
        <v>-110.321</v>
      </c>
      <c r="Q407" s="3" t="s">
        <v>1122</v>
      </c>
      <c r="R407" s="2"/>
      <c r="S407" s="2"/>
      <c r="T407" s="4" t="n">
        <f aca="false">DATE(VALUE(MID(C407,7,4)),VALUE(MID(C407,4,2)),VALUE(MID(C407,1,2)))+TIME(VALUE(MID(C407,12,2)),VALUE(MID(C407,15,2)),0)</f>
        <v>41566.7458333333</v>
      </c>
      <c r="U407" s="2" t="str">
        <f aca="false">IF(AND(ISNUMBER(VALUE(MID(A407,7,1))),ISNUMBER(SEARCH("km",A407)),ISNUMBER(SEARCH("of",A407))),"Distance-location","Named-region")</f>
        <v>Named-region</v>
      </c>
      <c r="V407" s="2" t="str">
        <f aca="false">LOWER(M407)</f>
        <v>mww</v>
      </c>
      <c r="W407" s="5" t="str">
        <f aca="false">IF(COUNTIFS($A$2:$A$1001,A407,$C$2:$C$1001,C407)&gt;1,"Duplicate","Unique")</f>
        <v>Unique</v>
      </c>
    </row>
    <row r="408" customFormat="false" ht="15" hidden="false" customHeight="false" outlineLevel="0" collapsed="false">
      <c r="A408" s="2" t="s">
        <v>1123</v>
      </c>
      <c r="B408" s="3" t="n">
        <v>6.8</v>
      </c>
      <c r="C408" s="2" t="s">
        <v>1124</v>
      </c>
      <c r="D408" s="2" t="n">
        <v>0</v>
      </c>
      <c r="E408" s="2" t="n">
        <v>6</v>
      </c>
      <c r="F408" s="2" t="s">
        <v>25</v>
      </c>
      <c r="G408" s="2" t="n">
        <v>1</v>
      </c>
      <c r="H408" s="2" t="n">
        <v>711</v>
      </c>
      <c r="I408" s="2" t="s">
        <v>26</v>
      </c>
      <c r="J408" s="2" t="n">
        <v>0</v>
      </c>
      <c r="K408" s="2" t="n">
        <v>5.79</v>
      </c>
      <c r="L408" s="2" t="n">
        <v>9</v>
      </c>
      <c r="M408" s="2" t="s">
        <v>27</v>
      </c>
      <c r="N408" s="3" t="n">
        <v>35</v>
      </c>
      <c r="O408" s="3" t="n">
        <v>-6.4456</v>
      </c>
      <c r="P408" s="3" t="n">
        <v>154.931</v>
      </c>
      <c r="Q408" s="3" t="s">
        <v>740</v>
      </c>
      <c r="R408" s="2"/>
      <c r="S408" s="2" t="s">
        <v>89</v>
      </c>
      <c r="T408" s="4" t="n">
        <f aca="false">DATE(VALUE(MID(C408,7,4)),VALUE(MID(C408,4,2)),VALUE(MID(C408,1,2)))+TIME(VALUE(MID(C408,12,2)),VALUE(MID(C408,15,2)),0)</f>
        <v>41563.4375</v>
      </c>
      <c r="U408" s="2" t="str">
        <f aca="false">IF(AND(ISNUMBER(VALUE(MID(A408,7,1))),ISNUMBER(SEARCH("km",A408)),ISNUMBER(SEARCH("of",A408))),"Distance-location","Named-region")</f>
        <v>Named-region</v>
      </c>
      <c r="V408" s="2" t="str">
        <f aca="false">LOWER(M408)</f>
        <v>mww</v>
      </c>
      <c r="W408" s="5" t="str">
        <f aca="false">IF(COUNTIFS($A$2:$A$1001,A408,$C$2:$C$1001,C408)&gt;1,"Duplicate","Unique")</f>
        <v>Unique</v>
      </c>
    </row>
    <row r="409" customFormat="false" ht="15" hidden="false" customHeight="false" outlineLevel="0" collapsed="false">
      <c r="A409" s="2" t="s">
        <v>1125</v>
      </c>
      <c r="B409" s="3" t="n">
        <v>7.1</v>
      </c>
      <c r="C409" s="2" t="s">
        <v>1126</v>
      </c>
      <c r="D409" s="2" t="n">
        <v>9</v>
      </c>
      <c r="E409" s="2" t="n">
        <v>8</v>
      </c>
      <c r="F409" s="2" t="s">
        <v>99</v>
      </c>
      <c r="G409" s="2" t="n">
        <v>1</v>
      </c>
      <c r="H409" s="2" t="n">
        <v>1092</v>
      </c>
      <c r="I409" s="2" t="s">
        <v>26</v>
      </c>
      <c r="J409" s="2" t="n">
        <v>0</v>
      </c>
      <c r="K409" s="2" t="n">
        <v>3.144</v>
      </c>
      <c r="L409" s="2" t="n">
        <v>12</v>
      </c>
      <c r="M409" s="2" t="s">
        <v>27</v>
      </c>
      <c r="N409" s="3" t="n">
        <v>19.04</v>
      </c>
      <c r="O409" s="3" t="n">
        <v>9.8796</v>
      </c>
      <c r="P409" s="3" t="n">
        <v>124.117</v>
      </c>
      <c r="Q409" s="3" t="s">
        <v>1127</v>
      </c>
      <c r="R409" s="2"/>
      <c r="S409" s="2" t="s">
        <v>195</v>
      </c>
      <c r="T409" s="4" t="n">
        <f aca="false">DATE(VALUE(MID(C409,7,4)),VALUE(MID(C409,4,2)),VALUE(MID(C409,1,2)))+TIME(VALUE(MID(C409,12,2)),VALUE(MID(C409,15,2)),0)</f>
        <v>41562.0083333333</v>
      </c>
      <c r="U409" s="2" t="str">
        <f aca="false">IF(AND(ISNUMBER(VALUE(MID(A409,7,1))),ISNUMBER(SEARCH("km",A409)),ISNUMBER(SEARCH("of",A409))),"Distance-location","Named-region")</f>
        <v>Named-region</v>
      </c>
      <c r="V409" s="2" t="str">
        <f aca="false">LOWER(M409)</f>
        <v>mww</v>
      </c>
      <c r="W409" s="5" t="str">
        <f aca="false">IF(COUNTIFS($A$2:$A$1001,A409,$C$2:$C$1001,C409)&gt;1,"Duplicate","Unique")</f>
        <v>Unique</v>
      </c>
    </row>
    <row r="410" customFormat="false" ht="15" hidden="false" customHeight="false" outlineLevel="0" collapsed="false">
      <c r="A410" s="2" t="s">
        <v>1128</v>
      </c>
      <c r="B410" s="3" t="n">
        <v>6.6</v>
      </c>
      <c r="C410" s="2" t="s">
        <v>1129</v>
      </c>
      <c r="D410" s="2" t="n">
        <v>5</v>
      </c>
      <c r="E410" s="2" t="n">
        <v>6</v>
      </c>
      <c r="F410" s="2" t="s">
        <v>32</v>
      </c>
      <c r="G410" s="2" t="n">
        <v>0</v>
      </c>
      <c r="H410" s="2" t="n">
        <v>691</v>
      </c>
      <c r="I410" s="2" t="s">
        <v>26</v>
      </c>
      <c r="J410" s="2" t="n">
        <v>0</v>
      </c>
      <c r="K410" s="2" t="n">
        <v>1.984</v>
      </c>
      <c r="L410" s="2" t="n">
        <v>40</v>
      </c>
      <c r="M410" s="2" t="s">
        <v>27</v>
      </c>
      <c r="N410" s="3" t="n">
        <v>40</v>
      </c>
      <c r="O410" s="3" t="n">
        <v>35.5142</v>
      </c>
      <c r="P410" s="3" t="n">
        <v>23.2523</v>
      </c>
      <c r="Q410" s="3" t="s">
        <v>1130</v>
      </c>
      <c r="R410" s="2" t="s">
        <v>365</v>
      </c>
      <c r="S410" s="2"/>
      <c r="T410" s="4" t="n">
        <f aca="false">DATE(VALUE(MID(C410,7,4)),VALUE(MID(C410,4,2)),VALUE(MID(C410,1,2)))+TIME(VALUE(MID(C410,12,2)),VALUE(MID(C410,15,2)),0)</f>
        <v>41559.5493055556</v>
      </c>
      <c r="U410" s="2" t="str">
        <f aca="false">IF(AND(ISNUMBER(VALUE(MID(A410,7,1))),ISNUMBER(SEARCH("km",A410)),ISNUMBER(SEARCH("of",A410))),"Distance-location","Named-region")</f>
        <v>Named-region</v>
      </c>
      <c r="V410" s="2" t="str">
        <f aca="false">LOWER(M410)</f>
        <v>mww</v>
      </c>
      <c r="W410" s="5" t="str">
        <f aca="false">IF(COUNTIFS($A$2:$A$1001,A410,$C$2:$C$1001,C410)&gt;1,"Duplicate","Unique")</f>
        <v>Unique</v>
      </c>
    </row>
    <row r="411" customFormat="false" ht="15" hidden="false" customHeight="false" outlineLevel="0" collapsed="false">
      <c r="A411" s="2" t="s">
        <v>1131</v>
      </c>
      <c r="B411" s="3" t="n">
        <v>6.7</v>
      </c>
      <c r="C411" s="2" t="s">
        <v>1132</v>
      </c>
      <c r="D411" s="2" t="n">
        <v>0</v>
      </c>
      <c r="E411" s="2" t="n">
        <v>3</v>
      </c>
      <c r="F411" s="2" t="s">
        <v>25</v>
      </c>
      <c r="G411" s="2" t="n">
        <v>0</v>
      </c>
      <c r="H411" s="2" t="n">
        <v>691</v>
      </c>
      <c r="I411" s="2" t="s">
        <v>26</v>
      </c>
      <c r="J411" s="2" t="n">
        <v>0</v>
      </c>
      <c r="K411" s="2" t="n">
        <v>2.958</v>
      </c>
      <c r="L411" s="2" t="n">
        <v>11</v>
      </c>
      <c r="M411" s="2" t="s">
        <v>27</v>
      </c>
      <c r="N411" s="3" t="n">
        <v>573</v>
      </c>
      <c r="O411" s="3" t="n">
        <v>53.1995</v>
      </c>
      <c r="P411" s="3" t="n">
        <v>152.786</v>
      </c>
      <c r="Q411" s="3" t="s">
        <v>1133</v>
      </c>
      <c r="R411" s="2"/>
      <c r="S411" s="2"/>
      <c r="T411" s="4" t="n">
        <f aca="false">DATE(VALUE(MID(C411,7,4)),VALUE(MID(C411,4,2)),VALUE(MID(C411,1,2)))+TIME(VALUE(MID(C411,12,2)),VALUE(MID(C411,15,2)),0)</f>
        <v>41548.1513888889</v>
      </c>
      <c r="U411" s="2" t="str">
        <f aca="false">IF(AND(ISNUMBER(VALUE(MID(A411,7,1))),ISNUMBER(SEARCH("km",A411)),ISNUMBER(SEARCH("of",A411))),"Distance-location","Named-region")</f>
        <v>Named-region</v>
      </c>
      <c r="V411" s="2" t="str">
        <f aca="false">LOWER(M411)</f>
        <v>mww</v>
      </c>
      <c r="W411" s="5" t="str">
        <f aca="false">IF(COUNTIFS($A$2:$A$1001,A411,$C$2:$C$1001,C411)&gt;1,"Duplicate","Unique")</f>
        <v>Unique</v>
      </c>
    </row>
    <row r="412" customFormat="false" ht="15" hidden="false" customHeight="false" outlineLevel="0" collapsed="false">
      <c r="A412" s="2" t="s">
        <v>311</v>
      </c>
      <c r="B412" s="3" t="n">
        <v>6.5</v>
      </c>
      <c r="C412" s="2" t="s">
        <v>1134</v>
      </c>
      <c r="D412" s="2" t="n">
        <v>0</v>
      </c>
      <c r="E412" s="2" t="n">
        <v>4</v>
      </c>
      <c r="F412" s="2" t="s">
        <v>25</v>
      </c>
      <c r="G412" s="2" t="n">
        <v>1</v>
      </c>
      <c r="H412" s="2" t="n">
        <v>650</v>
      </c>
      <c r="I412" s="2" t="s">
        <v>26</v>
      </c>
      <c r="J412" s="2" t="n">
        <v>0</v>
      </c>
      <c r="K412" s="2" t="n">
        <v>1.709</v>
      </c>
      <c r="L412" s="2" t="n">
        <v>21</v>
      </c>
      <c r="M412" s="2" t="s">
        <v>27</v>
      </c>
      <c r="N412" s="3" t="n">
        <v>41.54</v>
      </c>
      <c r="O412" s="3" t="n">
        <v>-30.9255</v>
      </c>
      <c r="P412" s="3" t="n">
        <v>-178.323</v>
      </c>
      <c r="Q412" s="3" t="s">
        <v>75</v>
      </c>
      <c r="R412" s="2"/>
      <c r="S412" s="2"/>
      <c r="T412" s="4" t="n">
        <f aca="false">DATE(VALUE(MID(C412,7,4)),VALUE(MID(C412,4,2)),VALUE(MID(C412,1,2)))+TIME(VALUE(MID(C412,12,2)),VALUE(MID(C412,15,2)),0)</f>
        <v>41547.2465277778</v>
      </c>
      <c r="U412" s="2" t="str">
        <f aca="false">IF(AND(ISNUMBER(VALUE(MID(A412,7,1))),ISNUMBER(SEARCH("km",A412)),ISNUMBER(SEARCH("of",A412))),"Distance-location","Named-region")</f>
        <v>Named-region</v>
      </c>
      <c r="V412" s="2" t="str">
        <f aca="false">LOWER(M412)</f>
        <v>mww</v>
      </c>
      <c r="W412" s="5" t="str">
        <f aca="false">IF(COUNTIFS($A$2:$A$1001,A412,$C$2:$C$1001,C412)&gt;1,"Duplicate","Unique")</f>
        <v>Unique</v>
      </c>
    </row>
    <row r="413" customFormat="false" ht="15" hidden="false" customHeight="false" outlineLevel="0" collapsed="false">
      <c r="A413" s="2" t="s">
        <v>1135</v>
      </c>
      <c r="B413" s="3" t="n">
        <v>6.8</v>
      </c>
      <c r="C413" s="2" t="s">
        <v>1136</v>
      </c>
      <c r="D413" s="2" t="n">
        <v>7</v>
      </c>
      <c r="E413" s="2" t="n">
        <v>7</v>
      </c>
      <c r="F413" s="2" t="s">
        <v>99</v>
      </c>
      <c r="G413" s="2" t="n">
        <v>0</v>
      </c>
      <c r="H413" s="2" t="n">
        <v>1005</v>
      </c>
      <c r="I413" s="2" t="s">
        <v>26</v>
      </c>
      <c r="J413" s="2" t="n">
        <v>0</v>
      </c>
      <c r="K413" s="2" t="n">
        <v>7.359</v>
      </c>
      <c r="L413" s="2" t="n">
        <v>17</v>
      </c>
      <c r="M413" s="2" t="s">
        <v>27</v>
      </c>
      <c r="N413" s="3" t="n">
        <v>12</v>
      </c>
      <c r="O413" s="3" t="n">
        <v>27.1825</v>
      </c>
      <c r="P413" s="3" t="n">
        <v>65.5052</v>
      </c>
      <c r="Q413" s="3" t="s">
        <v>1137</v>
      </c>
      <c r="R413" s="2" t="s">
        <v>84</v>
      </c>
      <c r="S413" s="2" t="s">
        <v>1138</v>
      </c>
      <c r="T413" s="4" t="n">
        <f aca="false">DATE(VALUE(MID(C413,7,4)),VALUE(MID(C413,4,2)),VALUE(MID(C413,1,2)))+TIME(VALUE(MID(C413,12,2)),VALUE(MID(C413,15,2)),0)</f>
        <v>41545.3152777778</v>
      </c>
      <c r="U413" s="2" t="str">
        <f aca="false">IF(AND(ISNUMBER(VALUE(MID(A413,7,1))),ISNUMBER(SEARCH("km",A413)),ISNUMBER(SEARCH("of",A413))),"Distance-location","Named-region")</f>
        <v>Named-region</v>
      </c>
      <c r="V413" s="2" t="str">
        <f aca="false">LOWER(M413)</f>
        <v>mww</v>
      </c>
      <c r="W413" s="5" t="str">
        <f aca="false">IF(COUNTIFS($A$2:$A$1001,A413,$C$2:$C$1001,C413)&gt;1,"Duplicate","Unique")</f>
        <v>Unique</v>
      </c>
    </row>
    <row r="414" customFormat="false" ht="15" hidden="false" customHeight="false" outlineLevel="0" collapsed="false">
      <c r="A414" s="2" t="s">
        <v>1139</v>
      </c>
      <c r="B414" s="3" t="n">
        <v>7.1</v>
      </c>
      <c r="C414" s="2" t="s">
        <v>1140</v>
      </c>
      <c r="D414" s="2" t="n">
        <v>8</v>
      </c>
      <c r="E414" s="2" t="n">
        <v>7</v>
      </c>
      <c r="F414" s="2" t="s">
        <v>25</v>
      </c>
      <c r="G414" s="2" t="n">
        <v>1</v>
      </c>
      <c r="H414" s="2" t="n">
        <v>843</v>
      </c>
      <c r="I414" s="2" t="s">
        <v>26</v>
      </c>
      <c r="J414" s="2" t="n">
        <v>0</v>
      </c>
      <c r="K414" s="2" t="n">
        <v>4.446</v>
      </c>
      <c r="L414" s="2" t="n">
        <v>17</v>
      </c>
      <c r="M414" s="2" t="s">
        <v>27</v>
      </c>
      <c r="N414" s="3" t="n">
        <v>40</v>
      </c>
      <c r="O414" s="3" t="n">
        <v>-15.8385</v>
      </c>
      <c r="P414" s="3" t="n">
        <v>-74.5112</v>
      </c>
      <c r="Q414" s="3" t="s">
        <v>643</v>
      </c>
      <c r="R414" s="2"/>
      <c r="S414" s="2" t="s">
        <v>203</v>
      </c>
      <c r="T414" s="4" t="n">
        <f aca="false">DATE(VALUE(MID(C414,7,4)),VALUE(MID(C414,4,2)),VALUE(MID(C414,1,2)))+TIME(VALUE(MID(C414,12,2)),VALUE(MID(C414,15,2)),0)</f>
        <v>41542.6958333333</v>
      </c>
      <c r="U414" s="2" t="str">
        <f aca="false">IF(AND(ISNUMBER(VALUE(MID(A414,7,1))),ISNUMBER(SEARCH("km",A414)),ISNUMBER(SEARCH("of",A414))),"Distance-location","Named-region")</f>
        <v>Named-region</v>
      </c>
      <c r="V414" s="2" t="str">
        <f aca="false">LOWER(M414)</f>
        <v>mww</v>
      </c>
      <c r="W414" s="5" t="str">
        <f aca="false">IF(COUNTIFS($A$2:$A$1001,A414,$C$2:$C$1001,C414)&gt;1,"Duplicate","Unique")</f>
        <v>Unique</v>
      </c>
    </row>
    <row r="415" customFormat="false" ht="15" hidden="false" customHeight="false" outlineLevel="0" collapsed="false">
      <c r="A415" s="2" t="s">
        <v>1141</v>
      </c>
      <c r="B415" s="3" t="n">
        <v>7.7</v>
      </c>
      <c r="C415" s="2" t="s">
        <v>1142</v>
      </c>
      <c r="D415" s="2" t="n">
        <v>5</v>
      </c>
      <c r="E415" s="2" t="n">
        <v>8</v>
      </c>
      <c r="F415" s="2" t="s">
        <v>125</v>
      </c>
      <c r="G415" s="2" t="n">
        <v>0</v>
      </c>
      <c r="H415" s="2" t="n">
        <v>2015</v>
      </c>
      <c r="I415" s="2" t="s">
        <v>26</v>
      </c>
      <c r="J415" s="2" t="n">
        <v>0</v>
      </c>
      <c r="K415" s="2" t="n">
        <v>7.241</v>
      </c>
      <c r="L415" s="2" t="n">
        <v>17</v>
      </c>
      <c r="M415" s="2" t="s">
        <v>27</v>
      </c>
      <c r="N415" s="3" t="n">
        <v>15</v>
      </c>
      <c r="O415" s="3" t="n">
        <v>26.951</v>
      </c>
      <c r="P415" s="3" t="n">
        <v>65.5009</v>
      </c>
      <c r="Q415" s="3" t="s">
        <v>1143</v>
      </c>
      <c r="R415" s="2" t="s">
        <v>84</v>
      </c>
      <c r="S415" s="2" t="s">
        <v>1138</v>
      </c>
      <c r="T415" s="4" t="n">
        <f aca="false">DATE(VALUE(MID(C415,7,4)),VALUE(MID(C415,4,2)),VALUE(MID(C415,1,2)))+TIME(VALUE(MID(C415,12,2)),VALUE(MID(C415,15,2)),0)</f>
        <v>41541.4784722222</v>
      </c>
      <c r="U415" s="2" t="str">
        <f aca="false">IF(AND(ISNUMBER(VALUE(MID(A415,7,1))),ISNUMBER(SEARCH("km",A415)),ISNUMBER(SEARCH("of",A415))),"Distance-location","Named-region")</f>
        <v>Named-region</v>
      </c>
      <c r="V415" s="2" t="str">
        <f aca="false">LOWER(M415)</f>
        <v>mww</v>
      </c>
      <c r="W415" s="5" t="str">
        <f aca="false">IF(COUNTIFS($A$2:$A$1001,A415,$C$2:$C$1001,C415)&gt;1,"Duplicate","Unique")</f>
        <v>Unique</v>
      </c>
    </row>
    <row r="416" customFormat="false" ht="15" hidden="false" customHeight="false" outlineLevel="0" collapsed="false">
      <c r="A416" s="2" t="s">
        <v>1144</v>
      </c>
      <c r="B416" s="3" t="n">
        <v>6.5</v>
      </c>
      <c r="C416" s="2" t="s">
        <v>1145</v>
      </c>
      <c r="D416" s="2" t="n">
        <v>0</v>
      </c>
      <c r="E416" s="2" t="n">
        <v>6</v>
      </c>
      <c r="F416" s="2" t="s">
        <v>25</v>
      </c>
      <c r="G416" s="2" t="n">
        <v>1</v>
      </c>
      <c r="H416" s="2" t="n">
        <v>650</v>
      </c>
      <c r="I416" s="2" t="s">
        <v>26</v>
      </c>
      <c r="J416" s="2" t="n">
        <v>0</v>
      </c>
      <c r="K416" s="2" t="n">
        <v>0.735</v>
      </c>
      <c r="L416" s="2" t="n">
        <v>24</v>
      </c>
      <c r="M416" s="2" t="s">
        <v>27</v>
      </c>
      <c r="N416" s="3" t="n">
        <v>20</v>
      </c>
      <c r="O416" s="3" t="n">
        <v>51.5573</v>
      </c>
      <c r="P416" s="3" t="n">
        <v>-174.767</v>
      </c>
      <c r="Q416" s="3" t="s">
        <v>1146</v>
      </c>
      <c r="R416" s="2"/>
      <c r="S416" s="2"/>
      <c r="T416" s="4" t="n">
        <f aca="false">DATE(VALUE(MID(C416,7,4)),VALUE(MID(C416,4,2)),VALUE(MID(C416,1,2)))+TIME(VALUE(MID(C416,12,2)),VALUE(MID(C416,15,2)),0)</f>
        <v>41521.1055555556</v>
      </c>
      <c r="U416" s="2" t="str">
        <f aca="false">IF(AND(ISNUMBER(VALUE(MID(A416,7,1))),ISNUMBER(SEARCH("km",A416)),ISNUMBER(SEARCH("of",A416))),"Distance-location","Named-region")</f>
        <v>Named-region</v>
      </c>
      <c r="V416" s="2" t="str">
        <f aca="false">LOWER(M416)</f>
        <v>mww</v>
      </c>
      <c r="W416" s="5" t="str">
        <f aca="false">IF(COUNTIFS($A$2:$A$1001,A416,$C$2:$C$1001,C416)&gt;1,"Duplicate","Unique")</f>
        <v>Unique</v>
      </c>
    </row>
    <row r="417" customFormat="false" ht="15" hidden="false" customHeight="false" outlineLevel="0" collapsed="false">
      <c r="A417" s="2" t="s">
        <v>1147</v>
      </c>
      <c r="B417" s="3" t="n">
        <v>6.5</v>
      </c>
      <c r="C417" s="2" t="s">
        <v>1148</v>
      </c>
      <c r="D417" s="2" t="n">
        <v>5</v>
      </c>
      <c r="E417" s="2" t="n">
        <v>3</v>
      </c>
      <c r="F417" s="2" t="s">
        <v>25</v>
      </c>
      <c r="G417" s="2" t="n">
        <v>0</v>
      </c>
      <c r="H417" s="2" t="n">
        <v>739</v>
      </c>
      <c r="I417" s="2" t="s">
        <v>26</v>
      </c>
      <c r="J417" s="2" t="n">
        <v>0</v>
      </c>
      <c r="K417" s="2" t="n">
        <v>3.276</v>
      </c>
      <c r="L417" s="2" t="n">
        <v>26</v>
      </c>
      <c r="M417" s="2" t="s">
        <v>27</v>
      </c>
      <c r="N417" s="3" t="n">
        <v>402</v>
      </c>
      <c r="O417" s="3" t="n">
        <v>29.9377</v>
      </c>
      <c r="P417" s="3" t="n">
        <v>138.833</v>
      </c>
      <c r="Q417" s="3" t="s">
        <v>1149</v>
      </c>
      <c r="R417" s="2"/>
      <c r="S417" s="2"/>
      <c r="T417" s="4" t="n">
        <f aca="false">DATE(VALUE(MID(C417,7,4)),VALUE(MID(C417,4,2)),VALUE(MID(C417,1,2)))+TIME(VALUE(MID(C417,12,2)),VALUE(MID(C417,15,2)),0)</f>
        <v>41521.0125</v>
      </c>
      <c r="U417" s="2" t="str">
        <f aca="false">IF(AND(ISNUMBER(VALUE(MID(A417,7,1))),ISNUMBER(SEARCH("km",A417)),ISNUMBER(SEARCH("of",A417))),"Distance-location","Named-region")</f>
        <v>Named-region</v>
      </c>
      <c r="V417" s="2" t="str">
        <f aca="false">LOWER(M417)</f>
        <v>mww</v>
      </c>
      <c r="W417" s="5" t="str">
        <f aca="false">IF(COUNTIFS($A$2:$A$1001,A417,$C$2:$C$1001,C417)&gt;1,"Duplicate","Unique")</f>
        <v>Unique</v>
      </c>
    </row>
    <row r="418" customFormat="false" ht="15" hidden="false" customHeight="false" outlineLevel="0" collapsed="false">
      <c r="A418" s="2" t="s">
        <v>1150</v>
      </c>
      <c r="B418" s="3" t="n">
        <v>6.5</v>
      </c>
      <c r="C418" s="2" t="s">
        <v>1151</v>
      </c>
      <c r="D418" s="2" t="n">
        <v>4</v>
      </c>
      <c r="E418" s="2" t="n">
        <v>5</v>
      </c>
      <c r="F418" s="2" t="s">
        <v>25</v>
      </c>
      <c r="G418" s="2" t="n">
        <v>0</v>
      </c>
      <c r="H418" s="2" t="n">
        <v>668</v>
      </c>
      <c r="I418" s="2" t="s">
        <v>26</v>
      </c>
      <c r="J418" s="2" t="n">
        <v>0</v>
      </c>
      <c r="K418" s="2" t="n">
        <v>3.097</v>
      </c>
      <c r="L418" s="2" t="n">
        <v>11</v>
      </c>
      <c r="M418" s="2" t="s">
        <v>27</v>
      </c>
      <c r="N418" s="3" t="n">
        <v>112</v>
      </c>
      <c r="O418" s="3" t="n">
        <v>-7.44</v>
      </c>
      <c r="P418" s="3" t="n">
        <v>128.221</v>
      </c>
      <c r="Q418" s="3" t="s">
        <v>252</v>
      </c>
      <c r="R418" s="2"/>
      <c r="S418" s="2" t="s">
        <v>72</v>
      </c>
      <c r="T418" s="4" t="n">
        <f aca="false">DATE(VALUE(MID(C418,7,4)),VALUE(MID(C418,4,2)),VALUE(MID(C418,1,2)))+TIME(VALUE(MID(C418,12,2)),VALUE(MID(C418,15,2)),0)</f>
        <v>41518.4944444444</v>
      </c>
      <c r="U418" s="2" t="str">
        <f aca="false">IF(AND(ISNUMBER(VALUE(MID(A418,7,1))),ISNUMBER(SEARCH("km",A418)),ISNUMBER(SEARCH("of",A418))),"Distance-location","Named-region")</f>
        <v>Named-region</v>
      </c>
      <c r="V418" s="2" t="str">
        <f aca="false">LOWER(M418)</f>
        <v>mww</v>
      </c>
      <c r="W418" s="5" t="str">
        <f aca="false">IF(COUNTIFS($A$2:$A$1001,A418,$C$2:$C$1001,C418)&gt;1,"Duplicate","Unique")</f>
        <v>Unique</v>
      </c>
    </row>
    <row r="419" customFormat="false" ht="15" hidden="false" customHeight="false" outlineLevel="0" collapsed="false">
      <c r="A419" s="2" t="s">
        <v>1152</v>
      </c>
      <c r="B419" s="3" t="n">
        <v>7</v>
      </c>
      <c r="C419" s="2" t="s">
        <v>1153</v>
      </c>
      <c r="D419" s="2" t="n">
        <v>5</v>
      </c>
      <c r="E419" s="2" t="n">
        <v>6</v>
      </c>
      <c r="F419" s="2" t="s">
        <v>25</v>
      </c>
      <c r="G419" s="2" t="n">
        <v>0</v>
      </c>
      <c r="H419" s="2" t="n">
        <v>758</v>
      </c>
      <c r="I419" s="2" t="s">
        <v>26</v>
      </c>
      <c r="J419" s="2" t="n">
        <v>0</v>
      </c>
      <c r="K419" s="2" t="n">
        <v>0.624</v>
      </c>
      <c r="L419" s="2" t="n">
        <v>53</v>
      </c>
      <c r="M419" s="2" t="s">
        <v>27</v>
      </c>
      <c r="N419" s="3" t="n">
        <v>29</v>
      </c>
      <c r="O419" s="3" t="n">
        <v>51.537</v>
      </c>
      <c r="P419" s="3" t="n">
        <v>-175.23</v>
      </c>
      <c r="Q419" s="3" t="s">
        <v>1146</v>
      </c>
      <c r="R419" s="2"/>
      <c r="S419" s="2"/>
      <c r="T419" s="4" t="n">
        <f aca="false">DATE(VALUE(MID(C419,7,4)),VALUE(MID(C419,4,2)),VALUE(MID(C419,1,2)))+TIME(VALUE(MID(C419,12,2)),VALUE(MID(C419,15,2)),0)</f>
        <v>41516.6840277778</v>
      </c>
      <c r="U419" s="2" t="str">
        <f aca="false">IF(AND(ISNUMBER(VALUE(MID(A419,7,1))),ISNUMBER(SEARCH("km",A419)),ISNUMBER(SEARCH("of",A419))),"Distance-location","Named-region")</f>
        <v>Named-region</v>
      </c>
      <c r="V419" s="2" t="str">
        <f aca="false">LOWER(M419)</f>
        <v>mww</v>
      </c>
      <c r="W419" s="5" t="str">
        <f aca="false">IF(COUNTIFS($A$2:$A$1001,A419,$C$2:$C$1001,C419)&gt;1,"Duplicate","Unique")</f>
        <v>Unique</v>
      </c>
    </row>
    <row r="420" customFormat="false" ht="15" hidden="false" customHeight="false" outlineLevel="0" collapsed="false">
      <c r="A420" s="2" t="s">
        <v>1154</v>
      </c>
      <c r="B420" s="3" t="n">
        <v>6.5</v>
      </c>
      <c r="C420" s="2" t="s">
        <v>1155</v>
      </c>
      <c r="D420" s="2" t="n">
        <v>9</v>
      </c>
      <c r="E420" s="2" t="n">
        <v>7</v>
      </c>
      <c r="F420" s="2" t="s">
        <v>32</v>
      </c>
      <c r="G420" s="2" t="n">
        <v>1</v>
      </c>
      <c r="H420" s="2" t="n">
        <v>690</v>
      </c>
      <c r="I420" s="2" t="s">
        <v>26</v>
      </c>
      <c r="J420" s="2" t="n">
        <v>0</v>
      </c>
      <c r="K420" s="2" t="n">
        <v>0</v>
      </c>
      <c r="L420" s="2" t="n">
        <v>0</v>
      </c>
      <c r="M420" s="2" t="s">
        <v>27</v>
      </c>
      <c r="N420" s="3" t="n">
        <v>8.2</v>
      </c>
      <c r="O420" s="3" t="n">
        <v>-41.734</v>
      </c>
      <c r="P420" s="3" t="n">
        <v>174.152</v>
      </c>
      <c r="Q420" s="3" t="s">
        <v>781</v>
      </c>
      <c r="R420" s="2"/>
      <c r="S420" s="2" t="s">
        <v>778</v>
      </c>
      <c r="T420" s="4" t="n">
        <f aca="false">DATE(VALUE(MID(C420,7,4)),VALUE(MID(C420,4,2)),VALUE(MID(C420,1,2)))+TIME(VALUE(MID(C420,12,2)),VALUE(MID(C420,15,2)),0)</f>
        <v>41502.1048611111</v>
      </c>
      <c r="U420" s="2" t="str">
        <f aca="false">IF(AND(ISNUMBER(VALUE(MID(A420,7,1))),ISNUMBER(SEARCH("km",A420)),ISNUMBER(SEARCH("of",A420))),"Distance-location","Named-region")</f>
        <v>Named-region</v>
      </c>
      <c r="V420" s="2" t="str">
        <f aca="false">LOWER(M420)</f>
        <v>mww</v>
      </c>
      <c r="W420" s="5" t="str">
        <f aca="false">IF(COUNTIFS($A$2:$A$1001,A420,$C$2:$C$1001,C420)&gt;1,"Duplicate","Unique")</f>
        <v>Unique</v>
      </c>
    </row>
    <row r="421" customFormat="false" ht="15" hidden="false" customHeight="false" outlineLevel="0" collapsed="false">
      <c r="A421" s="2" t="s">
        <v>1156</v>
      </c>
      <c r="B421" s="3" t="n">
        <v>6.7</v>
      </c>
      <c r="C421" s="2" t="s">
        <v>1157</v>
      </c>
      <c r="D421" s="2" t="n">
        <v>4</v>
      </c>
      <c r="E421" s="2" t="n">
        <v>5</v>
      </c>
      <c r="F421" s="2" t="s">
        <v>25</v>
      </c>
      <c r="G421" s="2" t="n">
        <v>1</v>
      </c>
      <c r="H421" s="2" t="n">
        <v>715</v>
      </c>
      <c r="I421" s="2" t="s">
        <v>26</v>
      </c>
      <c r="J421" s="2" t="n">
        <v>0</v>
      </c>
      <c r="K421" s="2" t="n">
        <v>3.741</v>
      </c>
      <c r="L421" s="2" t="n">
        <v>22</v>
      </c>
      <c r="M421" s="2" t="s">
        <v>27</v>
      </c>
      <c r="N421" s="3" t="n">
        <v>12</v>
      </c>
      <c r="O421" s="3" t="n">
        <v>5.7732</v>
      </c>
      <c r="P421" s="3" t="n">
        <v>-78.1999</v>
      </c>
      <c r="Q421" s="3" t="s">
        <v>1158</v>
      </c>
      <c r="R421" s="2"/>
      <c r="S421" s="2"/>
      <c r="T421" s="4" t="n">
        <f aca="false">DATE(VALUE(MID(C421,7,4)),VALUE(MID(C421,4,2)),VALUE(MID(C421,1,2)))+TIME(VALUE(MID(C421,12,2)),VALUE(MID(C421,15,2)),0)</f>
        <v>41499.6548611111</v>
      </c>
      <c r="U421" s="2" t="str">
        <f aca="false">IF(AND(ISNUMBER(VALUE(MID(A421,7,1))),ISNUMBER(SEARCH("km",A421)),ISNUMBER(SEARCH("of",A421))),"Distance-location","Named-region")</f>
        <v>Named-region</v>
      </c>
      <c r="V421" s="2" t="str">
        <f aca="false">LOWER(M421)</f>
        <v>mww</v>
      </c>
      <c r="W421" s="5" t="str">
        <f aca="false">IF(COUNTIFS($A$2:$A$1001,A421,$C$2:$C$1001,C421)&gt;1,"Duplicate","Unique")</f>
        <v>Unique</v>
      </c>
    </row>
    <row r="422" customFormat="false" ht="15" hidden="false" customHeight="false" outlineLevel="0" collapsed="false">
      <c r="A422" s="2" t="s">
        <v>1159</v>
      </c>
      <c r="B422" s="3" t="n">
        <v>6.5</v>
      </c>
      <c r="C422" s="2" t="s">
        <v>1160</v>
      </c>
      <c r="D422" s="2" t="n">
        <v>6</v>
      </c>
      <c r="E422" s="2" t="n">
        <v>7</v>
      </c>
      <c r="F422" s="2" t="s">
        <v>32</v>
      </c>
      <c r="G422" s="2" t="n">
        <v>1</v>
      </c>
      <c r="H422" s="2" t="n">
        <v>693</v>
      </c>
      <c r="I422" s="2" t="s">
        <v>26</v>
      </c>
      <c r="J422" s="2" t="n">
        <v>229</v>
      </c>
      <c r="K422" s="2" t="n">
        <v>0</v>
      </c>
      <c r="L422" s="2" t="n">
        <v>20</v>
      </c>
      <c r="M422" s="2" t="s">
        <v>27</v>
      </c>
      <c r="N422" s="3" t="n">
        <v>17</v>
      </c>
      <c r="O422" s="3" t="n">
        <v>-41.704</v>
      </c>
      <c r="P422" s="3" t="n">
        <v>174.337</v>
      </c>
      <c r="Q422" s="3" t="s">
        <v>781</v>
      </c>
      <c r="R422" s="2"/>
      <c r="S422" s="2" t="s">
        <v>778</v>
      </c>
      <c r="T422" s="4" t="n">
        <f aca="false">DATE(VALUE(MID(C422,7,4)),VALUE(MID(C422,4,2)),VALUE(MID(C422,1,2)))+TIME(VALUE(MID(C422,12,2)),VALUE(MID(C422,15,2)),0)</f>
        <v>41476.2145833333</v>
      </c>
      <c r="U422" s="2" t="str">
        <f aca="false">IF(AND(ISNUMBER(VALUE(MID(A422,7,1))),ISNUMBER(SEARCH("km",A422)),ISNUMBER(SEARCH("of",A422))),"Distance-location","Named-region")</f>
        <v>Named-region</v>
      </c>
      <c r="V422" s="2" t="str">
        <f aca="false">LOWER(M422)</f>
        <v>mww</v>
      </c>
      <c r="W422" s="5" t="str">
        <f aca="false">IF(COUNTIFS($A$2:$A$1001,A422,$C$2:$C$1001,C422)&gt;1,"Duplicate","Unique")</f>
        <v>Unique</v>
      </c>
    </row>
    <row r="423" customFormat="false" ht="28.35" hidden="false" customHeight="false" outlineLevel="0" collapsed="false">
      <c r="A423" s="2" t="s">
        <v>1161</v>
      </c>
      <c r="B423" s="3" t="n">
        <v>7.3</v>
      </c>
      <c r="C423" s="2" t="s">
        <v>1162</v>
      </c>
      <c r="D423" s="2" t="n">
        <v>0</v>
      </c>
      <c r="E423" s="2" t="n">
        <v>6</v>
      </c>
      <c r="F423" s="2" t="s">
        <v>25</v>
      </c>
      <c r="G423" s="2" t="n">
        <v>1</v>
      </c>
      <c r="H423" s="2" t="n">
        <v>820</v>
      </c>
      <c r="I423" s="2" t="s">
        <v>26</v>
      </c>
      <c r="J423" s="2" t="n">
        <v>398</v>
      </c>
      <c r="K423" s="2" t="n">
        <v>0</v>
      </c>
      <c r="L423" s="2" t="n">
        <v>43</v>
      </c>
      <c r="M423" s="2" t="s">
        <v>27</v>
      </c>
      <c r="N423" s="3" t="n">
        <v>11</v>
      </c>
      <c r="O423" s="3" t="n">
        <v>-60.857</v>
      </c>
      <c r="P423" s="3" t="n">
        <v>-25.07</v>
      </c>
      <c r="Q423" s="3" t="s">
        <v>279</v>
      </c>
      <c r="R423" s="2"/>
      <c r="S423" s="2" t="s">
        <v>468</v>
      </c>
      <c r="T423" s="4" t="n">
        <f aca="false">DATE(VALUE(MID(C423,7,4)),VALUE(MID(C423,4,2)),VALUE(MID(C423,1,2)))+TIME(VALUE(MID(C423,12,2)),VALUE(MID(C423,15,2)),0)</f>
        <v>41470.5854166667</v>
      </c>
      <c r="U423" s="2" t="str">
        <f aca="false">IF(AND(ISNUMBER(VALUE(MID(A423,7,1))),ISNUMBER(SEARCH("km",A423)),ISNUMBER(SEARCH("of",A423))),"Distance-location","Named-region")</f>
        <v>Named-region</v>
      </c>
      <c r="V423" s="2" t="str">
        <f aca="false">LOWER(M423)</f>
        <v>mww</v>
      </c>
      <c r="W423" s="5" t="str">
        <f aca="false">IF(COUNTIFS($A$2:$A$1001,A423,$C$2:$C$1001,C423)&gt;1,"Duplicate","Unique")</f>
        <v>Unique</v>
      </c>
    </row>
    <row r="424" customFormat="false" ht="15" hidden="false" customHeight="false" outlineLevel="0" collapsed="false">
      <c r="A424" s="2" t="s">
        <v>1163</v>
      </c>
      <c r="B424" s="3" t="n">
        <v>6.6</v>
      </c>
      <c r="C424" s="2" t="s">
        <v>1164</v>
      </c>
      <c r="D424" s="2" t="n">
        <v>4</v>
      </c>
      <c r="E424" s="2" t="n">
        <v>6</v>
      </c>
      <c r="F424" s="2" t="s">
        <v>25</v>
      </c>
      <c r="G424" s="2" t="n">
        <v>0</v>
      </c>
      <c r="H424" s="2" t="n">
        <v>674</v>
      </c>
      <c r="I424" s="2" t="s">
        <v>26</v>
      </c>
      <c r="J424" s="2" t="n">
        <v>139</v>
      </c>
      <c r="K424" s="2" t="n">
        <v>0</v>
      </c>
      <c r="L424" s="2" t="n">
        <v>14</v>
      </c>
      <c r="M424" s="2" t="s">
        <v>27</v>
      </c>
      <c r="N424" s="3" t="n">
        <v>56</v>
      </c>
      <c r="O424" s="3" t="n">
        <v>-6.029</v>
      </c>
      <c r="P424" s="3" t="n">
        <v>149.706</v>
      </c>
      <c r="Q424" s="3" t="s">
        <v>793</v>
      </c>
      <c r="R424" s="2"/>
      <c r="S424" s="2" t="s">
        <v>89</v>
      </c>
      <c r="T424" s="4" t="n">
        <f aca="false">DATE(VALUE(MID(C424,7,4)),VALUE(MID(C424,4,2)),VALUE(MID(C424,1,2)))+TIME(VALUE(MID(C424,12,2)),VALUE(MID(C424,15,2)),0)</f>
        <v>41462.8541666667</v>
      </c>
      <c r="U424" s="2" t="str">
        <f aca="false">IF(AND(ISNUMBER(VALUE(MID(A424,7,1))),ISNUMBER(SEARCH("km",A424)),ISNUMBER(SEARCH("of",A424))),"Distance-location","Named-region")</f>
        <v>Named-region</v>
      </c>
      <c r="V424" s="2" t="str">
        <f aca="false">LOWER(M424)</f>
        <v>mww</v>
      </c>
      <c r="W424" s="5" t="str">
        <f aca="false">IF(COUNTIFS($A$2:$A$1001,A424,$C$2:$C$1001,C424)&gt;1,"Duplicate","Unique")</f>
        <v>Unique</v>
      </c>
    </row>
    <row r="425" customFormat="false" ht="15" hidden="false" customHeight="false" outlineLevel="0" collapsed="false">
      <c r="A425" s="2" t="s">
        <v>1165</v>
      </c>
      <c r="B425" s="3" t="n">
        <v>7.3</v>
      </c>
      <c r="C425" s="2" t="s">
        <v>1166</v>
      </c>
      <c r="D425" s="2" t="n">
        <v>0</v>
      </c>
      <c r="E425" s="2" t="n">
        <v>4</v>
      </c>
      <c r="F425" s="2" t="s">
        <v>25</v>
      </c>
      <c r="G425" s="2" t="n">
        <v>1</v>
      </c>
      <c r="H425" s="2" t="n">
        <v>820</v>
      </c>
      <c r="I425" s="2" t="s">
        <v>26</v>
      </c>
      <c r="J425" s="2" t="n">
        <v>117</v>
      </c>
      <c r="K425" s="2" t="n">
        <v>0</v>
      </c>
      <c r="L425" s="2" t="n">
        <v>24</v>
      </c>
      <c r="M425" s="2" t="s">
        <v>27</v>
      </c>
      <c r="N425" s="3" t="n">
        <v>385.5</v>
      </c>
      <c r="O425" s="3" t="n">
        <v>-3.917</v>
      </c>
      <c r="P425" s="3" t="n">
        <v>153.927</v>
      </c>
      <c r="Q425" s="3" t="s">
        <v>629</v>
      </c>
      <c r="R425" s="2"/>
      <c r="S425" s="2" t="s">
        <v>89</v>
      </c>
      <c r="T425" s="4" t="n">
        <f aca="false">DATE(VALUE(MID(C425,7,4)),VALUE(MID(C425,4,2)),VALUE(MID(C425,1,2)))+TIME(VALUE(MID(C425,12,2)),VALUE(MID(C425,15,2)),0)</f>
        <v>41462.7743055556</v>
      </c>
      <c r="U425" s="2" t="str">
        <f aca="false">IF(AND(ISNUMBER(VALUE(MID(A425,7,1))),ISNUMBER(SEARCH("km",A425)),ISNUMBER(SEARCH("of",A425))),"Distance-location","Named-region")</f>
        <v>Named-region</v>
      </c>
      <c r="V425" s="2" t="str">
        <f aca="false">LOWER(M425)</f>
        <v>mww</v>
      </c>
      <c r="W425" s="5" t="str">
        <f aca="false">IF(COUNTIFS($A$2:$A$1001,A425,$C$2:$C$1001,C425)&gt;1,"Duplicate","Unique")</f>
        <v>Unique</v>
      </c>
    </row>
    <row r="426" customFormat="false" ht="15" hidden="false" customHeight="false" outlineLevel="0" collapsed="false">
      <c r="A426" s="2" t="s">
        <v>1167</v>
      </c>
      <c r="B426" s="3" t="n">
        <v>6.6</v>
      </c>
      <c r="C426" s="2" t="s">
        <v>1168</v>
      </c>
      <c r="D426" s="2" t="n">
        <v>0</v>
      </c>
      <c r="E426" s="2" t="n">
        <v>7</v>
      </c>
      <c r="F426" s="2" t="s">
        <v>25</v>
      </c>
      <c r="G426" s="2" t="n">
        <v>1</v>
      </c>
      <c r="H426" s="2" t="n">
        <v>670</v>
      </c>
      <c r="I426" s="2" t="s">
        <v>26</v>
      </c>
      <c r="J426" s="2" t="n">
        <v>111</v>
      </c>
      <c r="K426" s="2" t="n">
        <v>0</v>
      </c>
      <c r="L426" s="2" t="n">
        <v>16</v>
      </c>
      <c r="M426" s="2" t="s">
        <v>27</v>
      </c>
      <c r="N426" s="3" t="n">
        <v>10</v>
      </c>
      <c r="O426" s="3" t="n">
        <v>10.701</v>
      </c>
      <c r="P426" s="3" t="n">
        <v>-42.594</v>
      </c>
      <c r="Q426" s="3" t="s">
        <v>1169</v>
      </c>
      <c r="R426" s="2"/>
      <c r="S426" s="2"/>
      <c r="T426" s="4" t="n">
        <f aca="false">DATE(VALUE(MID(C426,7,4)),VALUE(MID(C426,4,2)),VALUE(MID(C426,1,2)))+TIME(VALUE(MID(C426,12,2)),VALUE(MID(C426,15,2)),0)</f>
        <v>41449.9194444444</v>
      </c>
      <c r="U426" s="2" t="str">
        <f aca="false">IF(AND(ISNUMBER(VALUE(MID(A426,7,1))),ISNUMBER(SEARCH("km",A426)),ISNUMBER(SEARCH("of",A426))),"Distance-location","Named-region")</f>
        <v>Named-region</v>
      </c>
      <c r="V426" s="2" t="str">
        <f aca="false">LOWER(M426)</f>
        <v>mww</v>
      </c>
      <c r="W426" s="5" t="str">
        <f aca="false">IF(COUNTIFS($A$2:$A$1001,A426,$C$2:$C$1001,C426)&gt;1,"Duplicate","Unique")</f>
        <v>Unique</v>
      </c>
    </row>
    <row r="427" customFormat="false" ht="15" hidden="false" customHeight="false" outlineLevel="0" collapsed="false">
      <c r="A427" s="2" t="s">
        <v>1170</v>
      </c>
      <c r="B427" s="3" t="n">
        <v>6.5</v>
      </c>
      <c r="C427" s="2" t="s">
        <v>1171</v>
      </c>
      <c r="D427" s="2" t="n">
        <v>5</v>
      </c>
      <c r="E427" s="2" t="n">
        <v>6</v>
      </c>
      <c r="F427" s="2" t="s">
        <v>25</v>
      </c>
      <c r="G427" s="2" t="n">
        <v>1</v>
      </c>
      <c r="H427" s="2" t="n">
        <v>679</v>
      </c>
      <c r="I427" s="2" t="s">
        <v>26</v>
      </c>
      <c r="J427" s="2" t="n">
        <v>698</v>
      </c>
      <c r="K427" s="2" t="n">
        <v>0</v>
      </c>
      <c r="L427" s="2" t="n">
        <v>27</v>
      </c>
      <c r="M427" s="2" t="s">
        <v>27</v>
      </c>
      <c r="N427" s="3" t="n">
        <v>30</v>
      </c>
      <c r="O427" s="3" t="n">
        <v>11.763</v>
      </c>
      <c r="P427" s="3" t="n">
        <v>-86.926</v>
      </c>
      <c r="Q427" s="3" t="s">
        <v>210</v>
      </c>
      <c r="R427" s="2"/>
      <c r="S427" s="2"/>
      <c r="T427" s="4" t="n">
        <f aca="false">DATE(VALUE(MID(C427,7,4)),VALUE(MID(C427,4,2)),VALUE(MID(C427,1,2)))+TIME(VALUE(MID(C427,12,2)),VALUE(MID(C427,15,2)),0)</f>
        <v>41440.7319444444</v>
      </c>
      <c r="U427" s="2" t="str">
        <f aca="false">IF(AND(ISNUMBER(VALUE(MID(A427,7,1))),ISNUMBER(SEARCH("km",A427)),ISNUMBER(SEARCH("of",A427))),"Distance-location","Named-region")</f>
        <v>Named-region</v>
      </c>
      <c r="V427" s="2" t="str">
        <f aca="false">LOWER(M427)</f>
        <v>mww</v>
      </c>
      <c r="W427" s="5" t="str">
        <f aca="false">IF(COUNTIFS($A$2:$A$1001,A427,$C$2:$C$1001,C427)&gt;1,"Duplicate","Unique")</f>
        <v>Unique</v>
      </c>
    </row>
    <row r="428" customFormat="false" ht="15" hidden="false" customHeight="false" outlineLevel="0" collapsed="false">
      <c r="A428" s="2" t="s">
        <v>1172</v>
      </c>
      <c r="B428" s="3" t="n">
        <v>6.7</v>
      </c>
      <c r="C428" s="2" t="s">
        <v>1173</v>
      </c>
      <c r="D428" s="2" t="n">
        <v>5</v>
      </c>
      <c r="E428" s="2" t="n">
        <v>4</v>
      </c>
      <c r="F428" s="2" t="s">
        <v>25</v>
      </c>
      <c r="G428" s="2" t="n">
        <v>0</v>
      </c>
      <c r="H428" s="2" t="n">
        <v>710</v>
      </c>
      <c r="I428" s="2" t="s">
        <v>26</v>
      </c>
      <c r="J428" s="2" t="n">
        <v>515</v>
      </c>
      <c r="K428" s="2" t="n">
        <v>0</v>
      </c>
      <c r="L428" s="2" t="n">
        <v>24</v>
      </c>
      <c r="M428" s="2" t="s">
        <v>27</v>
      </c>
      <c r="N428" s="3" t="n">
        <v>9</v>
      </c>
      <c r="O428" s="3" t="n">
        <v>-10.004</v>
      </c>
      <c r="P428" s="3" t="n">
        <v>107.236</v>
      </c>
      <c r="Q428" s="3" t="s">
        <v>1174</v>
      </c>
      <c r="R428" s="2"/>
      <c r="S428" s="2"/>
      <c r="T428" s="4" t="n">
        <f aca="false">DATE(VALUE(MID(C428,7,4)),VALUE(MID(C428,4,2)),VALUE(MID(C428,1,2)))+TIME(VALUE(MID(C428,12,2)),VALUE(MID(C428,15,2)),0)</f>
        <v>41438.6993055556</v>
      </c>
      <c r="U428" s="2" t="str">
        <f aca="false">IF(AND(ISNUMBER(VALUE(MID(A428,7,1))),ISNUMBER(SEARCH("km",A428)),ISNUMBER(SEARCH("of",A428))),"Distance-location","Named-region")</f>
        <v>Named-region</v>
      </c>
      <c r="V428" s="2" t="str">
        <f aca="false">LOWER(M428)</f>
        <v>mww</v>
      </c>
      <c r="W428" s="5" t="str">
        <f aca="false">IF(COUNTIFS($A$2:$A$1001,A428,$C$2:$C$1001,C428)&gt;1,"Duplicate","Unique")</f>
        <v>Unique</v>
      </c>
    </row>
    <row r="429" customFormat="false" ht="15" hidden="false" customHeight="false" outlineLevel="0" collapsed="false">
      <c r="A429" s="2" t="s">
        <v>1131</v>
      </c>
      <c r="B429" s="3" t="n">
        <v>6.7</v>
      </c>
      <c r="C429" s="2" t="s">
        <v>1175</v>
      </c>
      <c r="D429" s="2" t="n">
        <v>0</v>
      </c>
      <c r="E429" s="2" t="n">
        <v>3</v>
      </c>
      <c r="F429" s="2" t="s">
        <v>25</v>
      </c>
      <c r="G429" s="2" t="n">
        <v>1</v>
      </c>
      <c r="H429" s="2" t="n">
        <v>691</v>
      </c>
      <c r="I429" s="2" t="s">
        <v>26</v>
      </c>
      <c r="J429" s="2" t="n">
        <v>217</v>
      </c>
      <c r="K429" s="2" t="n">
        <v>0</v>
      </c>
      <c r="L429" s="2" t="n">
        <v>25.2</v>
      </c>
      <c r="M429" s="2" t="s">
        <v>158</v>
      </c>
      <c r="N429" s="3" t="n">
        <v>624</v>
      </c>
      <c r="O429" s="3" t="n">
        <v>52.235</v>
      </c>
      <c r="P429" s="3" t="n">
        <v>151.444</v>
      </c>
      <c r="Q429" s="3" t="s">
        <v>1133</v>
      </c>
      <c r="R429" s="2"/>
      <c r="S429" s="2"/>
      <c r="T429" s="4" t="n">
        <f aca="false">DATE(VALUE(MID(C429,7,4)),VALUE(MID(C429,4,2)),VALUE(MID(C429,1,2)))+TIME(VALUE(MID(C429,12,2)),VALUE(MID(C429,15,2)),0)</f>
        <v>41418.6222222222</v>
      </c>
      <c r="U429" s="2" t="str">
        <f aca="false">IF(AND(ISNUMBER(VALUE(MID(A429,7,1))),ISNUMBER(SEARCH("km",A429)),ISNUMBER(SEARCH("of",A429))),"Distance-location","Named-region")</f>
        <v>Named-region</v>
      </c>
      <c r="V429" s="2" t="str">
        <f aca="false">LOWER(M429)</f>
        <v>mwb</v>
      </c>
      <c r="W429" s="5" t="str">
        <f aca="false">IF(COUNTIFS($A$2:$A$1001,A429,$C$2:$C$1001,C429)&gt;1,"Duplicate","Unique")</f>
        <v>Unique</v>
      </c>
    </row>
    <row r="430" customFormat="false" ht="15" hidden="false" customHeight="false" outlineLevel="0" collapsed="false">
      <c r="A430" s="2" t="s">
        <v>1176</v>
      </c>
      <c r="B430" s="3" t="n">
        <v>8.3</v>
      </c>
      <c r="C430" s="2" t="s">
        <v>1177</v>
      </c>
      <c r="D430" s="2" t="n">
        <v>5</v>
      </c>
      <c r="E430" s="2" t="n">
        <v>5</v>
      </c>
      <c r="F430" s="2" t="s">
        <v>25</v>
      </c>
      <c r="G430" s="2" t="n">
        <v>1</v>
      </c>
      <c r="H430" s="2" t="n">
        <v>1115</v>
      </c>
      <c r="I430" s="2" t="s">
        <v>26</v>
      </c>
      <c r="J430" s="2" t="n">
        <v>385</v>
      </c>
      <c r="K430" s="2" t="n">
        <v>0</v>
      </c>
      <c r="L430" s="2" t="n">
        <v>10</v>
      </c>
      <c r="M430" s="2" t="s">
        <v>27</v>
      </c>
      <c r="N430" s="3" t="n">
        <v>598.1</v>
      </c>
      <c r="O430" s="3" t="n">
        <v>54.892</v>
      </c>
      <c r="P430" s="3" t="n">
        <v>153.221</v>
      </c>
      <c r="Q430" s="3" t="s">
        <v>1133</v>
      </c>
      <c r="R430" s="2"/>
      <c r="S430" s="2"/>
      <c r="T430" s="4" t="n">
        <f aca="false">DATE(VALUE(MID(C430,7,4)),VALUE(MID(C430,4,2)),VALUE(MID(C430,1,2)))+TIME(VALUE(MID(C430,12,2)),VALUE(MID(C430,15,2)),0)</f>
        <v>41418.2388888889</v>
      </c>
      <c r="U430" s="2" t="str">
        <f aca="false">IF(AND(ISNUMBER(VALUE(MID(A430,7,1))),ISNUMBER(SEARCH("km",A430)),ISNUMBER(SEARCH("of",A430))),"Distance-location","Named-region")</f>
        <v>Named-region</v>
      </c>
      <c r="V430" s="2" t="str">
        <f aca="false">LOWER(M430)</f>
        <v>mww</v>
      </c>
      <c r="W430" s="5" t="str">
        <f aca="false">IF(COUNTIFS($A$2:$A$1001,A430,$C$2:$C$1001,C430)&gt;1,"Duplicate","Unique")</f>
        <v>Unique</v>
      </c>
    </row>
    <row r="431" customFormat="false" ht="15" hidden="false" customHeight="false" outlineLevel="0" collapsed="false">
      <c r="A431" s="2" t="s">
        <v>1178</v>
      </c>
      <c r="B431" s="3" t="n">
        <v>7.4</v>
      </c>
      <c r="C431" s="2" t="s">
        <v>1179</v>
      </c>
      <c r="D431" s="2" t="n">
        <v>0</v>
      </c>
      <c r="E431" s="2" t="n">
        <v>6</v>
      </c>
      <c r="F431" s="2" t="s">
        <v>25</v>
      </c>
      <c r="G431" s="2" t="n">
        <v>1</v>
      </c>
      <c r="H431" s="2" t="n">
        <v>842</v>
      </c>
      <c r="I431" s="2" t="s">
        <v>26</v>
      </c>
      <c r="J431" s="2" t="n">
        <v>626</v>
      </c>
      <c r="K431" s="2" t="n">
        <v>0</v>
      </c>
      <c r="L431" s="2" t="n">
        <v>16</v>
      </c>
      <c r="M431" s="2" t="s">
        <v>27</v>
      </c>
      <c r="N431" s="3" t="n">
        <v>173.7</v>
      </c>
      <c r="O431" s="3" t="n">
        <v>-23.009</v>
      </c>
      <c r="P431" s="3" t="n">
        <v>-177.232</v>
      </c>
      <c r="Q431" s="3" t="s">
        <v>1180</v>
      </c>
      <c r="R431" s="2"/>
      <c r="S431" s="2"/>
      <c r="T431" s="4" t="n">
        <f aca="false">DATE(VALUE(MID(C431,7,4)),VALUE(MID(C431,4,2)),VALUE(MID(C431,1,2)))+TIME(VALUE(MID(C431,12,2)),VALUE(MID(C431,15,2)),0)</f>
        <v>41417.7215277778</v>
      </c>
      <c r="U431" s="2" t="str">
        <f aca="false">IF(AND(ISNUMBER(VALUE(MID(A431,7,1))),ISNUMBER(SEARCH("km",A431)),ISNUMBER(SEARCH("of",A431))),"Distance-location","Named-region")</f>
        <v>Named-region</v>
      </c>
      <c r="V431" s="2" t="str">
        <f aca="false">LOWER(M431)</f>
        <v>mww</v>
      </c>
      <c r="W431" s="5" t="str">
        <f aca="false">IF(COUNTIFS($A$2:$A$1001,A431,$C$2:$C$1001,C431)&gt;1,"Duplicate","Unique")</f>
        <v>Unique</v>
      </c>
    </row>
    <row r="432" customFormat="false" ht="28.35" hidden="false" customHeight="false" outlineLevel="0" collapsed="false">
      <c r="A432" s="2" t="s">
        <v>1181</v>
      </c>
      <c r="B432" s="3" t="n">
        <v>6.8</v>
      </c>
      <c r="C432" s="2" t="s">
        <v>1182</v>
      </c>
      <c r="D432" s="2" t="n">
        <v>0</v>
      </c>
      <c r="E432" s="2" t="n">
        <v>3</v>
      </c>
      <c r="F432" s="2" t="s">
        <v>25</v>
      </c>
      <c r="G432" s="2" t="n">
        <v>0</v>
      </c>
      <c r="H432" s="2" t="n">
        <v>711</v>
      </c>
      <c r="I432" s="2" t="s">
        <v>26</v>
      </c>
      <c r="J432" s="2" t="n">
        <v>131</v>
      </c>
      <c r="K432" s="2" t="n">
        <v>0</v>
      </c>
      <c r="L432" s="2" t="n">
        <v>18</v>
      </c>
      <c r="M432" s="2" t="s">
        <v>27</v>
      </c>
      <c r="N432" s="3" t="n">
        <v>602.2</v>
      </c>
      <c r="O432" s="3" t="n">
        <v>18.728</v>
      </c>
      <c r="P432" s="3" t="n">
        <v>145.288</v>
      </c>
      <c r="Q432" s="3" t="s">
        <v>810</v>
      </c>
      <c r="R432" s="2"/>
      <c r="S432" s="2"/>
      <c r="T432" s="4" t="n">
        <f aca="false">DATE(VALUE(MID(C432,7,4)),VALUE(MID(C432,4,2)),VALUE(MID(C432,1,2)))+TIME(VALUE(MID(C432,12,2)),VALUE(MID(C432,15,2)),0)</f>
        <v>41408.0222222222</v>
      </c>
      <c r="U432" s="2" t="str">
        <f aca="false">IF(AND(ISNUMBER(VALUE(MID(A432,7,1))),ISNUMBER(SEARCH("km",A432)),ISNUMBER(SEARCH("of",A432))),"Distance-location","Named-region")</f>
        <v>Named-region</v>
      </c>
      <c r="V432" s="2" t="str">
        <f aca="false">LOWER(M432)</f>
        <v>mww</v>
      </c>
      <c r="W432" s="5" t="str">
        <f aca="false">IF(COUNTIFS($A$2:$A$1001,A432,$C$2:$C$1001,C432)&gt;1,"Duplicate","Unique")</f>
        <v>Unique</v>
      </c>
    </row>
    <row r="433" customFormat="false" ht="15" hidden="false" customHeight="false" outlineLevel="0" collapsed="false">
      <c r="A433" s="2" t="s">
        <v>1183</v>
      </c>
      <c r="B433" s="3" t="n">
        <v>6.5</v>
      </c>
      <c r="C433" s="2" t="s">
        <v>1184</v>
      </c>
      <c r="D433" s="2" t="n">
        <v>0</v>
      </c>
      <c r="E433" s="2" t="n">
        <v>6</v>
      </c>
      <c r="F433" s="2" t="s">
        <v>25</v>
      </c>
      <c r="G433" s="2" t="n">
        <v>1</v>
      </c>
      <c r="H433" s="2" t="n">
        <v>650</v>
      </c>
      <c r="I433" s="2" t="s">
        <v>26</v>
      </c>
      <c r="J433" s="2" t="n">
        <v>264</v>
      </c>
      <c r="K433" s="2" t="n">
        <v>0</v>
      </c>
      <c r="L433" s="2" t="n">
        <v>16.6</v>
      </c>
      <c r="M433" s="2" t="s">
        <v>27</v>
      </c>
      <c r="N433" s="3" t="n">
        <v>10</v>
      </c>
      <c r="O433" s="3" t="n">
        <v>-3.898</v>
      </c>
      <c r="P433" s="3" t="n">
        <v>152.127</v>
      </c>
      <c r="Q433" s="3" t="s">
        <v>801</v>
      </c>
      <c r="R433" s="2"/>
      <c r="S433" s="2" t="s">
        <v>89</v>
      </c>
      <c r="T433" s="4" t="n">
        <f aca="false">DATE(VALUE(MID(C433,7,4)),VALUE(MID(C433,4,2)),VALUE(MID(C433,1,2)))+TIME(VALUE(MID(C433,12,2)),VALUE(MID(C433,15,2)),0)</f>
        <v>41387.9680555556</v>
      </c>
      <c r="U433" s="2" t="str">
        <f aca="false">IF(AND(ISNUMBER(VALUE(MID(A433,7,1))),ISNUMBER(SEARCH("km",A433)),ISNUMBER(SEARCH("of",A433))),"Distance-location","Named-region")</f>
        <v>Named-region</v>
      </c>
      <c r="V433" s="2" t="str">
        <f aca="false">LOWER(M433)</f>
        <v>mww</v>
      </c>
      <c r="W433" s="5" t="str">
        <f aca="false">IF(COUNTIFS($A$2:$A$1001,A433,$C$2:$C$1001,C433)&gt;1,"Duplicate","Unique")</f>
        <v>Unique</v>
      </c>
    </row>
    <row r="434" customFormat="false" ht="15" hidden="false" customHeight="false" outlineLevel="0" collapsed="false">
      <c r="A434" s="2" t="s">
        <v>1185</v>
      </c>
      <c r="B434" s="3" t="n">
        <v>6.6</v>
      </c>
      <c r="C434" s="2" t="s">
        <v>1186</v>
      </c>
      <c r="D434" s="2" t="n">
        <v>8</v>
      </c>
      <c r="E434" s="2" t="n">
        <v>8</v>
      </c>
      <c r="F434" s="2" t="s">
        <v>125</v>
      </c>
      <c r="G434" s="2" t="n">
        <v>0</v>
      </c>
      <c r="H434" s="2" t="n">
        <v>2083</v>
      </c>
      <c r="I434" s="2" t="s">
        <v>26</v>
      </c>
      <c r="J434" s="2" t="n">
        <v>548</v>
      </c>
      <c r="K434" s="2" t="n">
        <v>0</v>
      </c>
      <c r="L434" s="2" t="n">
        <v>12.6</v>
      </c>
      <c r="M434" s="2" t="s">
        <v>27</v>
      </c>
      <c r="N434" s="3" t="n">
        <v>14</v>
      </c>
      <c r="O434" s="3" t="n">
        <v>30.308</v>
      </c>
      <c r="P434" s="3" t="n">
        <v>102.888</v>
      </c>
      <c r="Q434" s="3" t="s">
        <v>1187</v>
      </c>
      <c r="R434" s="2" t="s">
        <v>84</v>
      </c>
      <c r="S434" s="2" t="s">
        <v>188</v>
      </c>
      <c r="T434" s="4" t="n">
        <f aca="false">DATE(VALUE(MID(C434,7,4)),VALUE(MID(C434,4,2)),VALUE(MID(C434,1,2)))+TIME(VALUE(MID(C434,12,2)),VALUE(MID(C434,15,2)),0)</f>
        <v>41384.0013888889</v>
      </c>
      <c r="U434" s="2" t="str">
        <f aca="false">IF(AND(ISNUMBER(VALUE(MID(A434,7,1))),ISNUMBER(SEARCH("km",A434)),ISNUMBER(SEARCH("of",A434))),"Distance-location","Named-region")</f>
        <v>Named-region</v>
      </c>
      <c r="V434" s="2" t="str">
        <f aca="false">LOWER(M434)</f>
        <v>mww</v>
      </c>
      <c r="W434" s="5" t="str">
        <f aca="false">IF(COUNTIFS($A$2:$A$1001,A434,$C$2:$C$1001,C434)&gt;1,"Duplicate","Unique")</f>
        <v>Unique</v>
      </c>
    </row>
    <row r="435" customFormat="false" ht="15" hidden="false" customHeight="false" outlineLevel="0" collapsed="false">
      <c r="A435" s="2" t="s">
        <v>1188</v>
      </c>
      <c r="B435" s="3" t="n">
        <v>7.2</v>
      </c>
      <c r="C435" s="2" t="s">
        <v>1189</v>
      </c>
      <c r="D435" s="2" t="n">
        <v>5</v>
      </c>
      <c r="E435" s="2" t="n">
        <v>7</v>
      </c>
      <c r="F435" s="2" t="s">
        <v>25</v>
      </c>
      <c r="G435" s="2" t="n">
        <v>1</v>
      </c>
      <c r="H435" s="2" t="n">
        <v>804</v>
      </c>
      <c r="I435" s="2" t="s">
        <v>26</v>
      </c>
      <c r="J435" s="2" t="n">
        <v>770</v>
      </c>
      <c r="K435" s="2" t="n">
        <v>0</v>
      </c>
      <c r="L435" s="2" t="n">
        <v>10.1</v>
      </c>
      <c r="M435" s="2" t="s">
        <v>27</v>
      </c>
      <c r="N435" s="3" t="n">
        <v>110</v>
      </c>
      <c r="O435" s="3" t="n">
        <v>46.221</v>
      </c>
      <c r="P435" s="3" t="n">
        <v>150.788</v>
      </c>
      <c r="Q435" s="3" t="s">
        <v>431</v>
      </c>
      <c r="R435" s="2" t="s">
        <v>84</v>
      </c>
      <c r="S435" s="2" t="s">
        <v>432</v>
      </c>
      <c r="T435" s="4" t="n">
        <f aca="false">DATE(VALUE(MID(C435,7,4)),VALUE(MID(C435,4,2)),VALUE(MID(C435,1,2)))+TIME(VALUE(MID(C435,12,2)),VALUE(MID(C435,15,2)),0)</f>
        <v>41383.1284722222</v>
      </c>
      <c r="U435" s="2" t="str">
        <f aca="false">IF(AND(ISNUMBER(VALUE(MID(A435,7,1))),ISNUMBER(SEARCH("km",A435)),ISNUMBER(SEARCH("of",A435))),"Distance-location","Named-region")</f>
        <v>Named-region</v>
      </c>
      <c r="V435" s="2" t="str">
        <f aca="false">LOWER(M435)</f>
        <v>mww</v>
      </c>
      <c r="W435" s="5" t="str">
        <f aca="false">IF(COUNTIFS($A$2:$A$1001,A435,$C$2:$C$1001,C435)&gt;1,"Duplicate","Unique")</f>
        <v>Unique</v>
      </c>
    </row>
    <row r="436" customFormat="false" ht="15" hidden="false" customHeight="false" outlineLevel="0" collapsed="false">
      <c r="A436" s="2" t="s">
        <v>1190</v>
      </c>
      <c r="B436" s="3" t="n">
        <v>6.6</v>
      </c>
      <c r="C436" s="2" t="s">
        <v>1191</v>
      </c>
      <c r="D436" s="2" t="n">
        <v>7</v>
      </c>
      <c r="E436" s="2" t="n">
        <v>7</v>
      </c>
      <c r="F436" s="2" t="s">
        <v>25</v>
      </c>
      <c r="G436" s="2" t="n">
        <v>1</v>
      </c>
      <c r="H436" s="2" t="n">
        <v>672</v>
      </c>
      <c r="I436" s="2" t="s">
        <v>26</v>
      </c>
      <c r="J436" s="2" t="n">
        <v>445</v>
      </c>
      <c r="K436" s="2" t="n">
        <v>0</v>
      </c>
      <c r="L436" s="2" t="n">
        <v>11</v>
      </c>
      <c r="M436" s="2" t="s">
        <v>27</v>
      </c>
      <c r="N436" s="3" t="n">
        <v>13</v>
      </c>
      <c r="O436" s="3" t="n">
        <v>-3.214</v>
      </c>
      <c r="P436" s="3" t="n">
        <v>142.542</v>
      </c>
      <c r="Q436" s="3" t="s">
        <v>1192</v>
      </c>
      <c r="R436" s="2"/>
      <c r="S436" s="2" t="s">
        <v>89</v>
      </c>
      <c r="T436" s="4" t="n">
        <f aca="false">DATE(VALUE(MID(C436,7,4)),VALUE(MID(C436,4,2)),VALUE(MID(C436,1,2)))+TIME(VALUE(MID(C436,12,2)),VALUE(MID(C436,15,2)),0)</f>
        <v>41380.9548611111</v>
      </c>
      <c r="U436" s="2" t="str">
        <f aca="false">IF(AND(ISNUMBER(VALUE(MID(A436,7,1))),ISNUMBER(SEARCH("km",A436)),ISNUMBER(SEARCH("of",A436))),"Distance-location","Named-region")</f>
        <v>Named-region</v>
      </c>
      <c r="V436" s="2" t="str">
        <f aca="false">LOWER(M436)</f>
        <v>mww</v>
      </c>
      <c r="W436" s="5" t="str">
        <f aca="false">IF(COUNTIFS($A$2:$A$1001,A436,$C$2:$C$1001,C436)&gt;1,"Duplicate","Unique")</f>
        <v>Unique</v>
      </c>
    </row>
    <row r="437" customFormat="false" ht="15" hidden="false" customHeight="false" outlineLevel="0" collapsed="false">
      <c r="A437" s="2" t="s">
        <v>1193</v>
      </c>
      <c r="B437" s="3" t="n">
        <v>7.7</v>
      </c>
      <c r="C437" s="2" t="s">
        <v>1194</v>
      </c>
      <c r="D437" s="2" t="n">
        <v>8</v>
      </c>
      <c r="E437" s="2" t="n">
        <v>8</v>
      </c>
      <c r="F437" s="2" t="s">
        <v>32</v>
      </c>
      <c r="G437" s="2" t="n">
        <v>0</v>
      </c>
      <c r="H437" s="2" t="n">
        <v>1421</v>
      </c>
      <c r="I437" s="2" t="s">
        <v>26</v>
      </c>
      <c r="J437" s="2" t="n">
        <v>506</v>
      </c>
      <c r="K437" s="2" t="n">
        <v>0</v>
      </c>
      <c r="L437" s="2" t="n">
        <v>26.6</v>
      </c>
      <c r="M437" s="2" t="s">
        <v>27</v>
      </c>
      <c r="N437" s="3" t="n">
        <v>80</v>
      </c>
      <c r="O437" s="3" t="n">
        <v>28.033</v>
      </c>
      <c r="P437" s="3" t="n">
        <v>61.996</v>
      </c>
      <c r="Q437" s="3" t="s">
        <v>1195</v>
      </c>
      <c r="R437" s="2" t="s">
        <v>84</v>
      </c>
      <c r="S437" s="2" t="s">
        <v>664</v>
      </c>
      <c r="T437" s="4" t="n">
        <f aca="false">DATE(VALUE(MID(C437,7,4)),VALUE(MID(C437,4,2)),VALUE(MID(C437,1,2)))+TIME(VALUE(MID(C437,12,2)),VALUE(MID(C437,15,2)),0)</f>
        <v>41380.4472222222</v>
      </c>
      <c r="U437" s="2" t="str">
        <f aca="false">IF(AND(ISNUMBER(VALUE(MID(A437,7,1))),ISNUMBER(SEARCH("km",A437)),ISNUMBER(SEARCH("of",A437))),"Distance-location","Named-region")</f>
        <v>Named-region</v>
      </c>
      <c r="V437" s="2" t="str">
        <f aca="false">LOWER(M437)</f>
        <v>mww</v>
      </c>
      <c r="W437" s="5" t="str">
        <f aca="false">IF(COUNTIFS($A$2:$A$1001,A437,$C$2:$C$1001,C437)&gt;1,"Duplicate","Unique")</f>
        <v>Unique</v>
      </c>
    </row>
    <row r="438" customFormat="false" ht="15" hidden="false" customHeight="false" outlineLevel="0" collapsed="false">
      <c r="A438" s="2" t="s">
        <v>1196</v>
      </c>
      <c r="B438" s="3" t="n">
        <v>6.6</v>
      </c>
      <c r="C438" s="2" t="s">
        <v>1197</v>
      </c>
      <c r="D438" s="2" t="n">
        <v>0</v>
      </c>
      <c r="E438" s="2" t="n">
        <v>5</v>
      </c>
      <c r="F438" s="2" t="s">
        <v>25</v>
      </c>
      <c r="G438" s="2" t="n">
        <v>1</v>
      </c>
      <c r="H438" s="2" t="n">
        <v>670</v>
      </c>
      <c r="I438" s="2" t="s">
        <v>26</v>
      </c>
      <c r="J438" s="2" t="n">
        <v>491</v>
      </c>
      <c r="K438" s="2" t="n">
        <v>0</v>
      </c>
      <c r="L438" s="2" t="n">
        <v>11.5</v>
      </c>
      <c r="M438" s="2" t="s">
        <v>27</v>
      </c>
      <c r="N438" s="3" t="n">
        <v>31</v>
      </c>
      <c r="O438" s="3" t="n">
        <v>-6.475</v>
      </c>
      <c r="P438" s="3" t="n">
        <v>154.607</v>
      </c>
      <c r="Q438" s="3" t="s">
        <v>740</v>
      </c>
      <c r="R438" s="2"/>
      <c r="S438" s="2"/>
      <c r="T438" s="4" t="n">
        <f aca="false">DATE(VALUE(MID(C438,7,4)),VALUE(MID(C438,4,2)),VALUE(MID(C438,1,2)))+TIME(VALUE(MID(C438,12,2)),VALUE(MID(C438,15,2)),0)</f>
        <v>41378.0638888889</v>
      </c>
      <c r="U438" s="2" t="str">
        <f aca="false">IF(AND(ISNUMBER(VALUE(MID(A438,7,1))),ISNUMBER(SEARCH("km",A438)),ISNUMBER(SEARCH("of",A438))),"Distance-location","Named-region")</f>
        <v>Named-region</v>
      </c>
      <c r="V438" s="2" t="str">
        <f aca="false">LOWER(M438)</f>
        <v>mww</v>
      </c>
      <c r="W438" s="5" t="str">
        <f aca="false">IF(COUNTIFS($A$2:$A$1001,A438,$C$2:$C$1001,C438)&gt;1,"Duplicate","Unique")</f>
        <v>Unique</v>
      </c>
    </row>
    <row r="439" customFormat="false" ht="15" hidden="false" customHeight="false" outlineLevel="0" collapsed="false">
      <c r="A439" s="2" t="s">
        <v>1198</v>
      </c>
      <c r="B439" s="3" t="n">
        <v>7</v>
      </c>
      <c r="C439" s="2" t="s">
        <v>1199</v>
      </c>
      <c r="D439" s="2" t="n">
        <v>3</v>
      </c>
      <c r="E439" s="2" t="n">
        <v>7</v>
      </c>
      <c r="F439" s="2" t="s">
        <v>25</v>
      </c>
      <c r="G439" s="2" t="n">
        <v>1</v>
      </c>
      <c r="H439" s="2" t="n">
        <v>755</v>
      </c>
      <c r="I439" s="2" t="s">
        <v>26</v>
      </c>
      <c r="J439" s="2" t="n">
        <v>640</v>
      </c>
      <c r="K439" s="2" t="n">
        <v>0</v>
      </c>
      <c r="L439" s="2" t="n">
        <v>11.4</v>
      </c>
      <c r="M439" s="2" t="s">
        <v>27</v>
      </c>
      <c r="N439" s="3" t="n">
        <v>66</v>
      </c>
      <c r="O439" s="3" t="n">
        <v>-3.517</v>
      </c>
      <c r="P439" s="3" t="n">
        <v>138.476</v>
      </c>
      <c r="Q439" s="3" t="s">
        <v>930</v>
      </c>
      <c r="R439" s="2"/>
      <c r="S439" s="2" t="s">
        <v>72</v>
      </c>
      <c r="T439" s="4" t="n">
        <f aca="false">DATE(VALUE(MID(C439,7,4)),VALUE(MID(C439,4,2)),VALUE(MID(C439,1,2)))+TIME(VALUE(MID(C439,12,2)),VALUE(MID(C439,15,2)),0)</f>
        <v>41370.1958333333</v>
      </c>
      <c r="U439" s="2" t="str">
        <f aca="false">IF(AND(ISNUMBER(VALUE(MID(A439,7,1))),ISNUMBER(SEARCH("km",A439)),ISNUMBER(SEARCH("of",A439))),"Distance-location","Named-region")</f>
        <v>Named-region</v>
      </c>
      <c r="V439" s="2" t="str">
        <f aca="false">LOWER(M439)</f>
        <v>mww</v>
      </c>
      <c r="W439" s="5" t="str">
        <f aca="false">IF(COUNTIFS($A$2:$A$1001,A439,$C$2:$C$1001,C439)&gt;1,"Duplicate","Unique")</f>
        <v>Unique</v>
      </c>
    </row>
    <row r="440" customFormat="false" ht="15" hidden="false" customHeight="false" outlineLevel="0" collapsed="false">
      <c r="A440" s="2" t="s">
        <v>1200</v>
      </c>
      <c r="B440" s="3" t="n">
        <v>6.5</v>
      </c>
      <c r="C440" s="2" t="s">
        <v>1201</v>
      </c>
      <c r="D440" s="2" t="n">
        <v>0</v>
      </c>
      <c r="E440" s="2" t="n">
        <v>6</v>
      </c>
      <c r="F440" s="2" t="s">
        <v>25</v>
      </c>
      <c r="G440" s="2" t="n">
        <v>1</v>
      </c>
      <c r="H440" s="2" t="n">
        <v>650</v>
      </c>
      <c r="I440" s="2" t="s">
        <v>26</v>
      </c>
      <c r="J440" s="2" t="n">
        <v>317</v>
      </c>
      <c r="K440" s="2" t="n">
        <v>0</v>
      </c>
      <c r="L440" s="2" t="n">
        <v>14.2</v>
      </c>
      <c r="M440" s="2" t="s">
        <v>27</v>
      </c>
      <c r="N440" s="3" t="n">
        <v>28</v>
      </c>
      <c r="O440" s="3" t="n">
        <v>-6.598</v>
      </c>
      <c r="P440" s="3" t="n">
        <v>148.174</v>
      </c>
      <c r="Q440" s="3" t="s">
        <v>1015</v>
      </c>
      <c r="R440" s="2"/>
      <c r="S440" s="2" t="s">
        <v>89</v>
      </c>
      <c r="T440" s="4" t="n">
        <f aca="false">DATE(VALUE(MID(C440,7,4)),VALUE(MID(C440,4,2)),VALUE(MID(C440,1,2)))+TIME(VALUE(MID(C440,12,2)),VALUE(MID(C440,15,2)),0)</f>
        <v>41343.9520833333</v>
      </c>
      <c r="U440" s="2" t="str">
        <f aca="false">IF(AND(ISNUMBER(VALUE(MID(A440,7,1))),ISNUMBER(SEARCH("km",A440)),ISNUMBER(SEARCH("of",A440))),"Distance-location","Named-region")</f>
        <v>Named-region</v>
      </c>
      <c r="V440" s="2" t="str">
        <f aca="false">LOWER(M440)</f>
        <v>mww</v>
      </c>
      <c r="W440" s="5" t="str">
        <f aca="false">IF(COUNTIFS($A$2:$A$1001,A440,$C$2:$C$1001,C440)&gt;1,"Duplicate","Unique")</f>
        <v>Unique</v>
      </c>
    </row>
    <row r="441" customFormat="false" ht="15" hidden="false" customHeight="false" outlineLevel="0" collapsed="false">
      <c r="A441" s="2" t="s">
        <v>1202</v>
      </c>
      <c r="B441" s="3" t="n">
        <v>6.5</v>
      </c>
      <c r="C441" s="2" t="s">
        <v>1203</v>
      </c>
      <c r="D441" s="2" t="n">
        <v>3</v>
      </c>
      <c r="E441" s="2" t="n">
        <v>6</v>
      </c>
      <c r="F441" s="2" t="s">
        <v>25</v>
      </c>
      <c r="G441" s="2" t="n">
        <v>0</v>
      </c>
      <c r="H441" s="2" t="n">
        <v>651</v>
      </c>
      <c r="I441" s="2" t="s">
        <v>26</v>
      </c>
      <c r="J441" s="2" t="n">
        <v>480</v>
      </c>
      <c r="K441" s="2" t="n">
        <v>0</v>
      </c>
      <c r="L441" s="2" t="n">
        <v>20.7</v>
      </c>
      <c r="M441" s="2" t="s">
        <v>27</v>
      </c>
      <c r="N441" s="3" t="n">
        <v>29</v>
      </c>
      <c r="O441" s="3" t="n">
        <v>50.958</v>
      </c>
      <c r="P441" s="3" t="n">
        <v>157.408</v>
      </c>
      <c r="Q441" s="3" t="s">
        <v>569</v>
      </c>
      <c r="R441" s="2" t="s">
        <v>84</v>
      </c>
      <c r="S441" s="2"/>
      <c r="T441" s="4" t="n">
        <f aca="false">DATE(VALUE(MID(C441,7,4)),VALUE(MID(C441,4,2)),VALUE(MID(C441,1,2)))+TIME(VALUE(MID(C441,12,2)),VALUE(MID(C441,15,2)),0)</f>
        <v>41334.5555555556</v>
      </c>
      <c r="U441" s="2" t="str">
        <f aca="false">IF(AND(ISNUMBER(VALUE(MID(A441,7,1))),ISNUMBER(SEARCH("km",A441)),ISNUMBER(SEARCH("of",A441))),"Distance-location","Named-region")</f>
        <v>Named-region</v>
      </c>
      <c r="V441" s="2" t="str">
        <f aca="false">LOWER(M441)</f>
        <v>mww</v>
      </c>
      <c r="W441" s="5" t="str">
        <f aca="false">IF(COUNTIFS($A$2:$A$1001,A441,$C$2:$C$1001,C441)&gt;1,"Duplicate","Unique")</f>
        <v>Unique</v>
      </c>
    </row>
    <row r="442" customFormat="false" ht="15" hidden="false" customHeight="false" outlineLevel="0" collapsed="false">
      <c r="A442" s="2" t="s">
        <v>1204</v>
      </c>
      <c r="B442" s="3" t="n">
        <v>6.9</v>
      </c>
      <c r="C442" s="2" t="s">
        <v>1205</v>
      </c>
      <c r="D442" s="2" t="n">
        <v>5</v>
      </c>
      <c r="E442" s="2" t="n">
        <v>6</v>
      </c>
      <c r="F442" s="2" t="s">
        <v>25</v>
      </c>
      <c r="G442" s="2" t="n">
        <v>1</v>
      </c>
      <c r="H442" s="2" t="n">
        <v>736</v>
      </c>
      <c r="I442" s="2" t="s">
        <v>26</v>
      </c>
      <c r="J442" s="2" t="n">
        <v>531</v>
      </c>
      <c r="K442" s="2" t="n">
        <v>0</v>
      </c>
      <c r="L442" s="2" t="n">
        <v>20.7</v>
      </c>
      <c r="M442" s="2" t="s">
        <v>27</v>
      </c>
      <c r="N442" s="3" t="n">
        <v>41</v>
      </c>
      <c r="O442" s="3" t="n">
        <v>50.954</v>
      </c>
      <c r="P442" s="3" t="n">
        <v>157.283</v>
      </c>
      <c r="Q442" s="3" t="s">
        <v>569</v>
      </c>
      <c r="R442" s="2" t="s">
        <v>84</v>
      </c>
      <c r="S442" s="2"/>
      <c r="T442" s="4" t="n">
        <f aca="false">DATE(VALUE(MID(C442,7,4)),VALUE(MID(C442,4,2)),VALUE(MID(C442,1,2)))+TIME(VALUE(MID(C442,12,2)),VALUE(MID(C442,15,2)),0)</f>
        <v>41333.5868055556</v>
      </c>
      <c r="U442" s="2" t="str">
        <f aca="false">IF(AND(ISNUMBER(VALUE(MID(A442,7,1))),ISNUMBER(SEARCH("km",A442)),ISNUMBER(SEARCH("of",A442))),"Distance-location","Named-region")</f>
        <v>Named-region</v>
      </c>
      <c r="V442" s="2" t="str">
        <f aca="false">LOWER(M442)</f>
        <v>mww</v>
      </c>
      <c r="W442" s="5" t="str">
        <f aca="false">IF(COUNTIFS($A$2:$A$1001,A442,$C$2:$C$1001,C442)&gt;1,"Duplicate","Unique")</f>
        <v>Unique</v>
      </c>
    </row>
    <row r="443" customFormat="false" ht="15" hidden="false" customHeight="false" outlineLevel="0" collapsed="false">
      <c r="A443" s="2" t="s">
        <v>1206</v>
      </c>
      <c r="B443" s="3" t="n">
        <v>6.6</v>
      </c>
      <c r="C443" s="2" t="s">
        <v>1207</v>
      </c>
      <c r="D443" s="2" t="n">
        <v>0</v>
      </c>
      <c r="E443" s="2" t="n">
        <v>7</v>
      </c>
      <c r="F443" s="2" t="s">
        <v>25</v>
      </c>
      <c r="G443" s="2" t="n">
        <v>1</v>
      </c>
      <c r="H443" s="2" t="n">
        <v>670</v>
      </c>
      <c r="I443" s="2" t="s">
        <v>26</v>
      </c>
      <c r="J443" s="2" t="n">
        <v>697</v>
      </c>
      <c r="K443" s="2" t="n">
        <v>0</v>
      </c>
      <c r="L443" s="2" t="n">
        <v>15.3</v>
      </c>
      <c r="M443" s="2" t="s">
        <v>27</v>
      </c>
      <c r="N443" s="3" t="n">
        <v>11</v>
      </c>
      <c r="O443" s="3" t="n">
        <v>67.631</v>
      </c>
      <c r="P443" s="3" t="n">
        <v>142.508</v>
      </c>
      <c r="Q443" s="3" t="s">
        <v>1208</v>
      </c>
      <c r="R443" s="2" t="s">
        <v>84</v>
      </c>
      <c r="S443" s="2" t="s">
        <v>432</v>
      </c>
      <c r="T443" s="4" t="n">
        <f aca="false">DATE(VALUE(MID(C443,7,4)),VALUE(MID(C443,4,2)),VALUE(MID(C443,1,2)))+TIME(VALUE(MID(C443,12,2)),VALUE(MID(C443,15,2)),0)</f>
        <v>41319.5506944444</v>
      </c>
      <c r="U443" s="2" t="str">
        <f aca="false">IF(AND(ISNUMBER(VALUE(MID(A443,7,1))),ISNUMBER(SEARCH("km",A443)),ISNUMBER(SEARCH("of",A443))),"Distance-location","Named-region")</f>
        <v>Named-region</v>
      </c>
      <c r="V443" s="2" t="str">
        <f aca="false">LOWER(M443)</f>
        <v>mww</v>
      </c>
      <c r="W443" s="5" t="str">
        <f aca="false">IF(COUNTIFS($A$2:$A$1001,A443,$C$2:$C$1001,C443)&gt;1,"Duplicate","Unique")</f>
        <v>Unique</v>
      </c>
    </row>
    <row r="444" customFormat="false" ht="15" hidden="false" customHeight="false" outlineLevel="0" collapsed="false">
      <c r="A444" s="2" t="s">
        <v>1209</v>
      </c>
      <c r="B444" s="3" t="n">
        <v>6.6</v>
      </c>
      <c r="C444" s="2" t="s">
        <v>1210</v>
      </c>
      <c r="D444" s="2" t="n">
        <v>0</v>
      </c>
      <c r="E444" s="2" t="n">
        <v>6</v>
      </c>
      <c r="F444" s="2" t="s">
        <v>25</v>
      </c>
      <c r="G444" s="2" t="n">
        <v>1</v>
      </c>
      <c r="H444" s="2" t="n">
        <v>670</v>
      </c>
      <c r="I444" s="2" t="s">
        <v>26</v>
      </c>
      <c r="J444" s="2" t="n">
        <v>421</v>
      </c>
      <c r="K444" s="2" t="n">
        <v>0</v>
      </c>
      <c r="L444" s="2" t="n">
        <v>16.6</v>
      </c>
      <c r="M444" s="2" t="s">
        <v>27</v>
      </c>
      <c r="N444" s="3" t="n">
        <v>18</v>
      </c>
      <c r="O444" s="3" t="n">
        <v>-10.994</v>
      </c>
      <c r="P444" s="3" t="n">
        <v>165.741</v>
      </c>
      <c r="Q444" s="3" t="s">
        <v>416</v>
      </c>
      <c r="R444" s="2"/>
      <c r="S444" s="2" t="s">
        <v>144</v>
      </c>
      <c r="T444" s="4" t="n">
        <f aca="false">DATE(VALUE(MID(C444,7,4)),VALUE(MID(C444,4,2)),VALUE(MID(C444,1,2)))+TIME(VALUE(MID(C444,12,2)),VALUE(MID(C444,15,2)),0)</f>
        <v>41314.8763888889</v>
      </c>
      <c r="U444" s="2" t="str">
        <f aca="false">IF(AND(ISNUMBER(VALUE(MID(A444,7,1))),ISNUMBER(SEARCH("km",A444)),ISNUMBER(SEARCH("of",A444))),"Distance-location","Named-region")</f>
        <v>Named-region</v>
      </c>
      <c r="V444" s="2" t="str">
        <f aca="false">LOWER(M444)</f>
        <v>mww</v>
      </c>
      <c r="W444" s="5" t="str">
        <f aca="false">IF(COUNTIFS($A$2:$A$1001,A444,$C$2:$C$1001,C444)&gt;1,"Duplicate","Unique")</f>
        <v>Unique</v>
      </c>
    </row>
    <row r="445" customFormat="false" ht="15" hidden="false" customHeight="false" outlineLevel="0" collapsed="false">
      <c r="A445" s="2" t="s">
        <v>1211</v>
      </c>
      <c r="B445" s="3" t="n">
        <v>6.9</v>
      </c>
      <c r="C445" s="2" t="s">
        <v>1212</v>
      </c>
      <c r="D445" s="2" t="n">
        <v>5</v>
      </c>
      <c r="E445" s="2" t="n">
        <v>5</v>
      </c>
      <c r="F445" s="2" t="s">
        <v>25</v>
      </c>
      <c r="G445" s="2" t="n">
        <v>1</v>
      </c>
      <c r="H445" s="2" t="n">
        <v>904</v>
      </c>
      <c r="I445" s="2" t="s">
        <v>26</v>
      </c>
      <c r="J445" s="2" t="n">
        <v>562</v>
      </c>
      <c r="K445" s="2" t="n">
        <v>0</v>
      </c>
      <c r="L445" s="2" t="n">
        <v>23.7</v>
      </c>
      <c r="M445" s="2" t="s">
        <v>27</v>
      </c>
      <c r="N445" s="3" t="n">
        <v>145</v>
      </c>
      <c r="O445" s="3" t="n">
        <v>1.135</v>
      </c>
      <c r="P445" s="3" t="n">
        <v>-77.393</v>
      </c>
      <c r="Q445" s="3" t="s">
        <v>1213</v>
      </c>
      <c r="R445" s="2" t="s">
        <v>37</v>
      </c>
      <c r="S445" s="2" t="s">
        <v>58</v>
      </c>
      <c r="T445" s="4" t="n">
        <f aca="false">DATE(VALUE(MID(C445,7,4)),VALUE(MID(C445,4,2)),VALUE(MID(C445,1,2)))+TIME(VALUE(MID(C445,12,2)),VALUE(MID(C445,15,2)),0)</f>
        <v>41314.5944444445</v>
      </c>
      <c r="U445" s="2" t="str">
        <f aca="false">IF(AND(ISNUMBER(VALUE(MID(A445,7,1))),ISNUMBER(SEARCH("km",A445)),ISNUMBER(SEARCH("of",A445))),"Distance-location","Named-region")</f>
        <v>Named-region</v>
      </c>
      <c r="V445" s="2" t="str">
        <f aca="false">LOWER(M445)</f>
        <v>mww</v>
      </c>
      <c r="W445" s="5" t="str">
        <f aca="false">IF(COUNTIFS($A$2:$A$1001,A445,$C$2:$C$1001,C445)&gt;1,"Duplicate","Unique")</f>
        <v>Unique</v>
      </c>
    </row>
    <row r="446" customFormat="false" ht="15" hidden="false" customHeight="false" outlineLevel="0" collapsed="false">
      <c r="A446" s="2" t="s">
        <v>1214</v>
      </c>
      <c r="B446" s="3" t="n">
        <v>7.1</v>
      </c>
      <c r="C446" s="2" t="s">
        <v>1215</v>
      </c>
      <c r="D446" s="2" t="n">
        <v>9</v>
      </c>
      <c r="E446" s="2" t="n">
        <v>6</v>
      </c>
      <c r="F446" s="2" t="s">
        <v>25</v>
      </c>
      <c r="G446" s="2" t="n">
        <v>1</v>
      </c>
      <c r="H446" s="2" t="n">
        <v>780</v>
      </c>
      <c r="I446" s="2" t="s">
        <v>26</v>
      </c>
      <c r="J446" s="2" t="n">
        <v>334</v>
      </c>
      <c r="K446" s="2" t="n">
        <v>0</v>
      </c>
      <c r="L446" s="2" t="n">
        <v>16.5</v>
      </c>
      <c r="M446" s="2" t="s">
        <v>27</v>
      </c>
      <c r="N446" s="3" t="n">
        <v>21</v>
      </c>
      <c r="O446" s="3" t="n">
        <v>-10.928</v>
      </c>
      <c r="P446" s="3" t="n">
        <v>166.018</v>
      </c>
      <c r="Q446" s="3" t="s">
        <v>416</v>
      </c>
      <c r="R446" s="2"/>
      <c r="S446" s="2" t="s">
        <v>144</v>
      </c>
      <c r="T446" s="4" t="n">
        <f aca="false">DATE(VALUE(MID(C446,7,4)),VALUE(MID(C446,4,2)),VALUE(MID(C446,1,2)))+TIME(VALUE(MID(C446,12,2)),VALUE(MID(C446,15,2)),0)</f>
        <v>41313.6430555556</v>
      </c>
      <c r="U446" s="2" t="str">
        <f aca="false">IF(AND(ISNUMBER(VALUE(MID(A446,7,1))),ISNUMBER(SEARCH("km",A446)),ISNUMBER(SEARCH("of",A446))),"Distance-location","Named-region")</f>
        <v>Named-region</v>
      </c>
      <c r="V446" s="2" t="str">
        <f aca="false">LOWER(M446)</f>
        <v>mww</v>
      </c>
      <c r="W446" s="5" t="str">
        <f aca="false">IF(COUNTIFS($A$2:$A$1001,A446,$C$2:$C$1001,C446)&gt;1,"Duplicate","Unique")</f>
        <v>Unique</v>
      </c>
    </row>
    <row r="447" customFormat="false" ht="15" hidden="false" customHeight="false" outlineLevel="0" collapsed="false">
      <c r="A447" s="2" t="s">
        <v>1216</v>
      </c>
      <c r="B447" s="3" t="n">
        <v>6.8</v>
      </c>
      <c r="C447" s="2" t="s">
        <v>1217</v>
      </c>
      <c r="D447" s="2" t="n">
        <v>0</v>
      </c>
      <c r="E447" s="2" t="n">
        <v>7</v>
      </c>
      <c r="F447" s="2" t="s">
        <v>25</v>
      </c>
      <c r="G447" s="2" t="n">
        <v>1</v>
      </c>
      <c r="H447" s="2" t="n">
        <v>711</v>
      </c>
      <c r="I447" s="2" t="s">
        <v>26</v>
      </c>
      <c r="J447" s="2" t="n">
        <v>400</v>
      </c>
      <c r="K447" s="2" t="n">
        <v>0</v>
      </c>
      <c r="L447" s="2" t="n">
        <v>17.5</v>
      </c>
      <c r="M447" s="2" t="s">
        <v>27</v>
      </c>
      <c r="N447" s="3" t="n">
        <v>12</v>
      </c>
      <c r="O447" s="3" t="n">
        <v>-10.838</v>
      </c>
      <c r="P447" s="3" t="n">
        <v>165.969</v>
      </c>
      <c r="Q447" s="3" t="s">
        <v>416</v>
      </c>
      <c r="R447" s="2"/>
      <c r="S447" s="2" t="s">
        <v>144</v>
      </c>
      <c r="T447" s="4" t="n">
        <f aca="false">DATE(VALUE(MID(C447,7,4)),VALUE(MID(C447,4,2)),VALUE(MID(C447,1,2)))+TIME(VALUE(MID(C447,12,2)),VALUE(MID(C447,15,2)),0)</f>
        <v>41313.4666666667</v>
      </c>
      <c r="U447" s="2" t="str">
        <f aca="false">IF(AND(ISNUMBER(VALUE(MID(A447,7,1))),ISNUMBER(SEARCH("km",A447)),ISNUMBER(SEARCH("of",A447))),"Distance-location","Named-region")</f>
        <v>Named-region</v>
      </c>
      <c r="V447" s="2" t="str">
        <f aca="false">LOWER(M447)</f>
        <v>mww</v>
      </c>
      <c r="W447" s="5" t="str">
        <f aca="false">IF(COUNTIFS($A$2:$A$1001,A447,$C$2:$C$1001,C447)&gt;1,"Duplicate","Unique")</f>
        <v>Unique</v>
      </c>
    </row>
    <row r="448" customFormat="false" ht="15" hidden="false" customHeight="false" outlineLevel="0" collapsed="false">
      <c r="A448" s="2" t="s">
        <v>1218</v>
      </c>
      <c r="B448" s="3" t="n">
        <v>6.7</v>
      </c>
      <c r="C448" s="2" t="s">
        <v>1219</v>
      </c>
      <c r="D448" s="2" t="n">
        <v>0</v>
      </c>
      <c r="E448" s="2" t="n">
        <v>6</v>
      </c>
      <c r="F448" s="2" t="s">
        <v>25</v>
      </c>
      <c r="G448" s="2" t="n">
        <v>1</v>
      </c>
      <c r="H448" s="2" t="n">
        <v>691</v>
      </c>
      <c r="I448" s="2" t="s">
        <v>26</v>
      </c>
      <c r="J448" s="2" t="n">
        <v>387</v>
      </c>
      <c r="K448" s="2" t="n">
        <v>0</v>
      </c>
      <c r="L448" s="2" t="n">
        <v>26.5</v>
      </c>
      <c r="M448" s="2" t="s">
        <v>27</v>
      </c>
      <c r="N448" s="3" t="n">
        <v>11</v>
      </c>
      <c r="O448" s="3" t="n">
        <v>-10.997</v>
      </c>
      <c r="P448" s="3" t="n">
        <v>165.655</v>
      </c>
      <c r="Q448" s="3" t="s">
        <v>416</v>
      </c>
      <c r="R448" s="2"/>
      <c r="S448" s="2" t="s">
        <v>144</v>
      </c>
      <c r="T448" s="4" t="n">
        <f aca="false">DATE(VALUE(MID(C448,7,4)),VALUE(MID(C448,4,2)),VALUE(MID(C448,1,2)))+TIME(VALUE(MID(C448,12,2)),VALUE(MID(C448,15,2)),0)</f>
        <v>41312.7909722222</v>
      </c>
      <c r="U448" s="2" t="str">
        <f aca="false">IF(AND(ISNUMBER(VALUE(MID(A448,7,1))),ISNUMBER(SEARCH("km",A448)),ISNUMBER(SEARCH("of",A448))),"Distance-location","Named-region")</f>
        <v>Named-region</v>
      </c>
      <c r="V448" s="2" t="str">
        <f aca="false">LOWER(M448)</f>
        <v>mww</v>
      </c>
      <c r="W448" s="5" t="str">
        <f aca="false">IF(COUNTIFS($A$2:$A$1001,A448,$C$2:$C$1001,C448)&gt;1,"Duplicate","Unique")</f>
        <v>Unique</v>
      </c>
    </row>
    <row r="449" customFormat="false" ht="15" hidden="false" customHeight="false" outlineLevel="0" collapsed="false">
      <c r="A449" s="2" t="s">
        <v>1220</v>
      </c>
      <c r="B449" s="3" t="n">
        <v>7</v>
      </c>
      <c r="C449" s="2" t="s">
        <v>1221</v>
      </c>
      <c r="D449" s="2" t="n">
        <v>0</v>
      </c>
      <c r="E449" s="2" t="n">
        <v>6</v>
      </c>
      <c r="F449" s="2" t="s">
        <v>25</v>
      </c>
      <c r="G449" s="2" t="n">
        <v>0</v>
      </c>
      <c r="H449" s="2" t="n">
        <v>754</v>
      </c>
      <c r="I449" s="2" t="s">
        <v>26</v>
      </c>
      <c r="J449" s="2" t="n">
        <v>445</v>
      </c>
      <c r="K449" s="2" t="n">
        <v>0</v>
      </c>
      <c r="L449" s="2" t="n">
        <v>17.5</v>
      </c>
      <c r="M449" s="2" t="s">
        <v>27</v>
      </c>
      <c r="N449" s="3" t="n">
        <v>8.8</v>
      </c>
      <c r="O449" s="3" t="n">
        <v>-10.499</v>
      </c>
      <c r="P449" s="3" t="n">
        <v>165.588</v>
      </c>
      <c r="Q449" s="3" t="s">
        <v>416</v>
      </c>
      <c r="R449" s="2"/>
      <c r="S449" s="2" t="s">
        <v>144</v>
      </c>
      <c r="T449" s="4" t="n">
        <f aca="false">DATE(VALUE(MID(C449,7,4)),VALUE(MID(C449,4,2)),VALUE(MID(C449,1,2)))+TIME(VALUE(MID(C449,12,2)),VALUE(MID(C449,15,2)),0)</f>
        <v>41311.0791666667</v>
      </c>
      <c r="U449" s="2" t="str">
        <f aca="false">IF(AND(ISNUMBER(VALUE(MID(A449,7,1))),ISNUMBER(SEARCH("km",A449)),ISNUMBER(SEARCH("of",A449))),"Distance-location","Named-region")</f>
        <v>Named-region</v>
      </c>
      <c r="V449" s="2" t="str">
        <f aca="false">LOWER(M449)</f>
        <v>mww</v>
      </c>
      <c r="W449" s="5" t="str">
        <f aca="false">IF(COUNTIFS($A$2:$A$1001,A449,$C$2:$C$1001,C449)&gt;1,"Duplicate","Unique")</f>
        <v>Unique</v>
      </c>
    </row>
    <row r="450" customFormat="false" ht="15" hidden="false" customHeight="false" outlineLevel="0" collapsed="false">
      <c r="A450" s="2" t="s">
        <v>1222</v>
      </c>
      <c r="B450" s="3" t="n">
        <v>7.1</v>
      </c>
      <c r="C450" s="2" t="s">
        <v>1223</v>
      </c>
      <c r="D450" s="2" t="n">
        <v>0</v>
      </c>
      <c r="E450" s="2" t="n">
        <v>5</v>
      </c>
      <c r="F450" s="2" t="s">
        <v>25</v>
      </c>
      <c r="G450" s="2" t="n">
        <v>0</v>
      </c>
      <c r="H450" s="2" t="n">
        <v>776</v>
      </c>
      <c r="I450" s="2" t="s">
        <v>26</v>
      </c>
      <c r="J450" s="2" t="n">
        <v>550</v>
      </c>
      <c r="K450" s="2" t="n">
        <v>0</v>
      </c>
      <c r="L450" s="2" t="n">
        <v>18.4</v>
      </c>
      <c r="M450" s="2" t="s">
        <v>27</v>
      </c>
      <c r="N450" s="3" t="n">
        <v>10</v>
      </c>
      <c r="O450" s="3" t="n">
        <v>-11.183</v>
      </c>
      <c r="P450" s="3" t="n">
        <v>164.882</v>
      </c>
      <c r="Q450" s="3" t="s">
        <v>416</v>
      </c>
      <c r="R450" s="2"/>
      <c r="S450" s="2"/>
      <c r="T450" s="4" t="n">
        <f aca="false">DATE(VALUE(MID(C450,7,4)),VALUE(MID(C450,4,2)),VALUE(MID(C450,1,2)))+TIME(VALUE(MID(C450,12,2)),VALUE(MID(C450,15,2)),0)</f>
        <v>41311.0576388889</v>
      </c>
      <c r="U450" s="2" t="str">
        <f aca="false">IF(AND(ISNUMBER(VALUE(MID(A450,7,1))),ISNUMBER(SEARCH("km",A450)),ISNUMBER(SEARCH("of",A450))),"Distance-location","Named-region")</f>
        <v>Named-region</v>
      </c>
      <c r="V450" s="2" t="str">
        <f aca="false">LOWER(M450)</f>
        <v>mww</v>
      </c>
      <c r="W450" s="5" t="str">
        <f aca="false">IF(COUNTIFS($A$2:$A$1001,A450,$C$2:$C$1001,C450)&gt;1,"Duplicate","Unique")</f>
        <v>Unique</v>
      </c>
    </row>
    <row r="451" customFormat="false" ht="15" hidden="false" customHeight="false" outlineLevel="0" collapsed="false">
      <c r="A451" s="2" t="s">
        <v>1224</v>
      </c>
      <c r="B451" s="3" t="n">
        <v>8</v>
      </c>
      <c r="C451" s="2" t="s">
        <v>1225</v>
      </c>
      <c r="D451" s="2" t="n">
        <v>8</v>
      </c>
      <c r="E451" s="2" t="n">
        <v>7</v>
      </c>
      <c r="F451" s="2" t="s">
        <v>25</v>
      </c>
      <c r="G451" s="2" t="n">
        <v>1</v>
      </c>
      <c r="H451" s="2" t="n">
        <v>993</v>
      </c>
      <c r="I451" s="2" t="s">
        <v>26</v>
      </c>
      <c r="J451" s="2" t="n">
        <v>460</v>
      </c>
      <c r="K451" s="2" t="n">
        <v>0</v>
      </c>
      <c r="L451" s="2" t="n">
        <v>20.9</v>
      </c>
      <c r="M451" s="2" t="s">
        <v>27</v>
      </c>
      <c r="N451" s="3" t="n">
        <v>24</v>
      </c>
      <c r="O451" s="3" t="n">
        <v>-10.799</v>
      </c>
      <c r="P451" s="3" t="n">
        <v>165.114</v>
      </c>
      <c r="Q451" s="3" t="s">
        <v>416</v>
      </c>
      <c r="R451" s="2"/>
      <c r="S451" s="2"/>
      <c r="T451" s="4" t="n">
        <f aca="false">DATE(VALUE(MID(C451,7,4)),VALUE(MID(C451,4,2)),VALUE(MID(C451,1,2)))+TIME(VALUE(MID(C451,12,2)),VALUE(MID(C451,15,2)),0)</f>
        <v>41311.05</v>
      </c>
      <c r="U451" s="2" t="str">
        <f aca="false">IF(AND(ISNUMBER(VALUE(MID(A451,7,1))),ISNUMBER(SEARCH("km",A451)),ISNUMBER(SEARCH("of",A451))),"Distance-location","Named-region")</f>
        <v>Named-region</v>
      </c>
      <c r="V451" s="2" t="str">
        <f aca="false">LOWER(M451)</f>
        <v>mww</v>
      </c>
      <c r="W451" s="5" t="str">
        <f aca="false">IF(COUNTIFS($A$2:$A$1001,A451,$C$2:$C$1001,C451)&gt;1,"Duplicate","Unique")</f>
        <v>Unique</v>
      </c>
    </row>
    <row r="452" customFormat="false" ht="15" hidden="false" customHeight="false" outlineLevel="0" collapsed="false">
      <c r="A452" s="2" t="s">
        <v>1226</v>
      </c>
      <c r="B452" s="3" t="n">
        <v>6.9</v>
      </c>
      <c r="C452" s="2" t="s">
        <v>1227</v>
      </c>
      <c r="D452" s="2" t="n">
        <v>6</v>
      </c>
      <c r="E452" s="2" t="n">
        <v>7</v>
      </c>
      <c r="F452" s="2" t="s">
        <v>32</v>
      </c>
      <c r="G452" s="2" t="n">
        <v>0</v>
      </c>
      <c r="H452" s="2" t="n">
        <v>814</v>
      </c>
      <c r="I452" s="2" t="s">
        <v>26</v>
      </c>
      <c r="J452" s="2" t="n">
        <v>686</v>
      </c>
      <c r="K452" s="2" t="n">
        <v>0</v>
      </c>
      <c r="L452" s="2" t="n">
        <v>28</v>
      </c>
      <c r="M452" s="2" t="s">
        <v>27</v>
      </c>
      <c r="N452" s="3" t="n">
        <v>107</v>
      </c>
      <c r="O452" s="3" t="n">
        <v>42.77</v>
      </c>
      <c r="P452" s="3" t="n">
        <v>143.092</v>
      </c>
      <c r="Q452" s="3" t="s">
        <v>1228</v>
      </c>
      <c r="R452" s="2" t="s">
        <v>84</v>
      </c>
      <c r="S452" s="2" t="s">
        <v>326</v>
      </c>
      <c r="T452" s="4" t="n">
        <f aca="false">DATE(VALUE(MID(C452,7,4)),VALUE(MID(C452,4,2)),VALUE(MID(C452,1,2)))+TIME(VALUE(MID(C452,12,2)),VALUE(MID(C452,15,2)),0)</f>
        <v>41307.5951388889</v>
      </c>
      <c r="U452" s="2" t="str">
        <f aca="false">IF(AND(ISNUMBER(VALUE(MID(A452,7,1))),ISNUMBER(SEARCH("km",A452)),ISNUMBER(SEARCH("of",A452))),"Distance-location","Named-region")</f>
        <v>Named-region</v>
      </c>
      <c r="V452" s="2" t="str">
        <f aca="false">LOWER(M452)</f>
        <v>mww</v>
      </c>
      <c r="W452" s="5" t="str">
        <f aca="false">IF(COUNTIFS($A$2:$A$1001,A452,$C$2:$C$1001,C452)&gt;1,"Duplicate","Unique")</f>
        <v>Unique</v>
      </c>
    </row>
    <row r="453" customFormat="false" ht="15" hidden="false" customHeight="false" outlineLevel="0" collapsed="false">
      <c r="A453" s="2" t="s">
        <v>1229</v>
      </c>
      <c r="B453" s="3" t="n">
        <v>6.8</v>
      </c>
      <c r="C453" s="2" t="s">
        <v>1230</v>
      </c>
      <c r="D453" s="2" t="n">
        <v>6</v>
      </c>
      <c r="E453" s="2" t="n">
        <v>7</v>
      </c>
      <c r="F453" s="2" t="s">
        <v>25</v>
      </c>
      <c r="G453" s="2" t="n">
        <v>0</v>
      </c>
      <c r="H453" s="2" t="n">
        <v>771</v>
      </c>
      <c r="I453" s="2" t="s">
        <v>26</v>
      </c>
      <c r="J453" s="2" t="n">
        <v>596</v>
      </c>
      <c r="K453" s="2" t="n">
        <v>0</v>
      </c>
      <c r="L453" s="2" t="n">
        <v>19.3</v>
      </c>
      <c r="M453" s="2" t="s">
        <v>27</v>
      </c>
      <c r="N453" s="3" t="n">
        <v>45</v>
      </c>
      <c r="O453" s="3" t="n">
        <v>-28.094</v>
      </c>
      <c r="P453" s="3" t="n">
        <v>-70.653</v>
      </c>
      <c r="Q453" s="3" t="s">
        <v>374</v>
      </c>
      <c r="R453" s="2" t="s">
        <v>37</v>
      </c>
      <c r="S453" s="2" t="s">
        <v>377</v>
      </c>
      <c r="T453" s="4" t="n">
        <f aca="false">DATE(VALUE(MID(C453,7,4)),VALUE(MID(C453,4,2)),VALUE(MID(C453,1,2)))+TIME(VALUE(MID(C453,12,2)),VALUE(MID(C453,15,2)),0)</f>
        <v>41304.84375</v>
      </c>
      <c r="U453" s="2" t="str">
        <f aca="false">IF(AND(ISNUMBER(VALUE(MID(A453,7,1))),ISNUMBER(SEARCH("km",A453)),ISNUMBER(SEARCH("of",A453))),"Distance-location","Named-region")</f>
        <v>Named-region</v>
      </c>
      <c r="V453" s="2" t="str">
        <f aca="false">LOWER(M453)</f>
        <v>mww</v>
      </c>
      <c r="W453" s="5" t="str">
        <f aca="false">IF(COUNTIFS($A$2:$A$1001,A453,$C$2:$C$1001,C453)&gt;1,"Duplicate","Unique")</f>
        <v>Unique</v>
      </c>
    </row>
    <row r="454" customFormat="false" ht="15" hidden="false" customHeight="false" outlineLevel="0" collapsed="false">
      <c r="A454" s="2" t="s">
        <v>1231</v>
      </c>
      <c r="B454" s="3" t="n">
        <v>7.5</v>
      </c>
      <c r="C454" s="2" t="s">
        <v>1232</v>
      </c>
      <c r="D454" s="2" t="n">
        <v>6</v>
      </c>
      <c r="E454" s="2" t="n">
        <v>6</v>
      </c>
      <c r="F454" s="2"/>
      <c r="G454" s="2" t="n">
        <v>0</v>
      </c>
      <c r="H454" s="2" t="n">
        <v>1425</v>
      </c>
      <c r="I454" s="2" t="s">
        <v>263</v>
      </c>
      <c r="J454" s="2" t="n">
        <v>0</v>
      </c>
      <c r="K454" s="2" t="n">
        <v>0</v>
      </c>
      <c r="L454" s="2" t="n">
        <v>0</v>
      </c>
      <c r="M454" s="2" t="s">
        <v>489</v>
      </c>
      <c r="N454" s="3" t="n">
        <v>8.7</v>
      </c>
      <c r="O454" s="3" t="n">
        <v>55.228</v>
      </c>
      <c r="P454" s="3" t="n">
        <v>-134.859</v>
      </c>
      <c r="Q454" s="3" t="s">
        <v>1233</v>
      </c>
      <c r="R454" s="2"/>
      <c r="S454" s="2"/>
      <c r="T454" s="4" t="n">
        <f aca="false">DATE(VALUE(MID(C454,7,4)),VALUE(MID(C454,4,2)),VALUE(MID(C454,1,2)))+TIME(VALUE(MID(C454,12,2)),VALUE(MID(C454,15,2)),0)</f>
        <v>41279.3736111111</v>
      </c>
      <c r="U454" s="2" t="str">
        <f aca="false">IF(AND(ISNUMBER(VALUE(MID(A454,7,1))),ISNUMBER(SEARCH("km",A454)),ISNUMBER(SEARCH("of",A454))),"Distance-location","Named-region")</f>
        <v>Named-region</v>
      </c>
      <c r="V454" s="2" t="str">
        <f aca="false">LOWER(M454)</f>
        <v>mw</v>
      </c>
      <c r="W454" s="5" t="str">
        <f aca="false">IF(COUNTIFS($A$2:$A$1001,A454,$C$2:$C$1001,C454)&gt;1,"Duplicate","Unique")</f>
        <v>Unique</v>
      </c>
    </row>
    <row r="455" customFormat="false" ht="15" hidden="false" customHeight="false" outlineLevel="0" collapsed="false">
      <c r="A455" s="2" t="s">
        <v>1234</v>
      </c>
      <c r="B455" s="3" t="n">
        <v>6.7</v>
      </c>
      <c r="C455" s="2" t="s">
        <v>1235</v>
      </c>
      <c r="D455" s="2" t="n">
        <v>0</v>
      </c>
      <c r="E455" s="2" t="n">
        <v>4</v>
      </c>
      <c r="F455" s="2"/>
      <c r="G455" s="2" t="n">
        <v>0</v>
      </c>
      <c r="H455" s="2" t="n">
        <v>691</v>
      </c>
      <c r="I455" s="2" t="s">
        <v>26</v>
      </c>
      <c r="J455" s="2" t="n">
        <v>521</v>
      </c>
      <c r="K455" s="2" t="n">
        <v>0</v>
      </c>
      <c r="L455" s="2" t="n">
        <v>13.7</v>
      </c>
      <c r="M455" s="2" t="s">
        <v>27</v>
      </c>
      <c r="N455" s="3" t="n">
        <v>200.7</v>
      </c>
      <c r="O455" s="3" t="n">
        <v>-14.344</v>
      </c>
      <c r="P455" s="3" t="n">
        <v>167.286</v>
      </c>
      <c r="Q455" s="3" t="s">
        <v>28</v>
      </c>
      <c r="R455" s="2"/>
      <c r="S455" s="2" t="s">
        <v>29</v>
      </c>
      <c r="T455" s="4" t="n">
        <f aca="false">DATE(VALUE(MID(C455,7,4)),VALUE(MID(C455,4,2)),VALUE(MID(C455,1,2)))+TIME(VALUE(MID(C455,12,2)),VALUE(MID(C455,15,2)),0)</f>
        <v>41264.9361111111</v>
      </c>
      <c r="U455" s="2" t="str">
        <f aca="false">IF(AND(ISNUMBER(VALUE(MID(A455,7,1))),ISNUMBER(SEARCH("km",A455)),ISNUMBER(SEARCH("of",A455))),"Distance-location","Named-region")</f>
        <v>Named-region</v>
      </c>
      <c r="V455" s="2" t="str">
        <f aca="false">LOWER(M455)</f>
        <v>mww</v>
      </c>
      <c r="W455" s="5" t="str">
        <f aca="false">IF(COUNTIFS($A$2:$A$1001,A455,$C$2:$C$1001,C455)&gt;1,"Duplicate","Unique")</f>
        <v>Unique</v>
      </c>
    </row>
    <row r="456" customFormat="false" ht="15" hidden="false" customHeight="false" outlineLevel="0" collapsed="false">
      <c r="A456" s="2" t="s">
        <v>1236</v>
      </c>
      <c r="B456" s="3" t="n">
        <v>7.1</v>
      </c>
      <c r="C456" s="2" t="s">
        <v>1237</v>
      </c>
      <c r="D456" s="2" t="n">
        <v>5</v>
      </c>
      <c r="E456" s="2" t="n">
        <v>5</v>
      </c>
      <c r="F456" s="2"/>
      <c r="G456" s="2" t="n">
        <v>0</v>
      </c>
      <c r="H456" s="2" t="n">
        <v>843</v>
      </c>
      <c r="I456" s="2" t="s">
        <v>26</v>
      </c>
      <c r="J456" s="2" t="n">
        <v>517</v>
      </c>
      <c r="K456" s="2" t="n">
        <v>0</v>
      </c>
      <c r="L456" s="2" t="n">
        <v>8.7</v>
      </c>
      <c r="M456" s="2" t="s">
        <v>27</v>
      </c>
      <c r="N456" s="3" t="n">
        <v>155</v>
      </c>
      <c r="O456" s="3" t="n">
        <v>-6.533</v>
      </c>
      <c r="P456" s="3" t="n">
        <v>129.825</v>
      </c>
      <c r="Q456" s="3" t="s">
        <v>419</v>
      </c>
      <c r="R456" s="2"/>
      <c r="S456" s="2" t="s">
        <v>72</v>
      </c>
      <c r="T456" s="4" t="n">
        <f aca="false">DATE(VALUE(MID(C456,7,4)),VALUE(MID(C456,4,2)),VALUE(MID(C456,1,2)))+TIME(VALUE(MID(C456,12,2)),VALUE(MID(C456,15,2)),0)</f>
        <v>41253.7034722222</v>
      </c>
      <c r="U456" s="2" t="str">
        <f aca="false">IF(AND(ISNUMBER(VALUE(MID(A456,7,1))),ISNUMBER(SEARCH("km",A456)),ISNUMBER(SEARCH("of",A456))),"Distance-location","Named-region")</f>
        <v>Named-region</v>
      </c>
      <c r="V456" s="2" t="str">
        <f aca="false">LOWER(M456)</f>
        <v>mww</v>
      </c>
      <c r="W456" s="5" t="str">
        <f aca="false">IF(COUNTIFS($A$2:$A$1001,A456,$C$2:$C$1001,C456)&gt;1,"Duplicate","Unique")</f>
        <v>Unique</v>
      </c>
    </row>
    <row r="457" customFormat="false" ht="15" hidden="false" customHeight="false" outlineLevel="0" collapsed="false">
      <c r="A457" s="2" t="s">
        <v>1238</v>
      </c>
      <c r="B457" s="3" t="n">
        <v>7.3</v>
      </c>
      <c r="C457" s="2" t="s">
        <v>1239</v>
      </c>
      <c r="D457" s="2" t="n">
        <v>6</v>
      </c>
      <c r="E457" s="2" t="n">
        <v>5</v>
      </c>
      <c r="F457" s="2"/>
      <c r="G457" s="2" t="n">
        <v>0</v>
      </c>
      <c r="H457" s="2" t="n">
        <v>1014</v>
      </c>
      <c r="I457" s="2" t="s">
        <v>26</v>
      </c>
      <c r="J457" s="2" t="n">
        <v>918</v>
      </c>
      <c r="K457" s="2" t="n">
        <v>0</v>
      </c>
      <c r="L457" s="2" t="n">
        <v>14.8</v>
      </c>
      <c r="M457" s="2" t="s">
        <v>27</v>
      </c>
      <c r="N457" s="3" t="n">
        <v>31</v>
      </c>
      <c r="O457" s="3" t="n">
        <v>37.89</v>
      </c>
      <c r="P457" s="3" t="n">
        <v>143.949</v>
      </c>
      <c r="Q457" s="3" t="s">
        <v>957</v>
      </c>
      <c r="R457" s="2"/>
      <c r="S457" s="2"/>
      <c r="T457" s="4" t="n">
        <f aca="false">DATE(VALUE(MID(C457,7,4)),VALUE(MID(C457,4,2)),VALUE(MID(C457,1,2)))+TIME(VALUE(MID(C457,12,2)),VALUE(MID(C457,15,2)),0)</f>
        <v>41250.3458333333</v>
      </c>
      <c r="U457" s="2" t="str">
        <f aca="false">IF(AND(ISNUMBER(VALUE(MID(A457,7,1))),ISNUMBER(SEARCH("km",A457)),ISNUMBER(SEARCH("of",A457))),"Distance-location","Named-region")</f>
        <v>Named-region</v>
      </c>
      <c r="V457" s="2" t="str">
        <f aca="false">LOWER(M457)</f>
        <v>mww</v>
      </c>
      <c r="W457" s="5" t="str">
        <f aca="false">IF(COUNTIFS($A$2:$A$1001,A457,$C$2:$C$1001,C457)&gt;1,"Duplicate","Unique")</f>
        <v>Unique</v>
      </c>
    </row>
    <row r="458" customFormat="false" ht="15" hidden="false" customHeight="false" outlineLevel="0" collapsed="false">
      <c r="A458" s="2" t="s">
        <v>1240</v>
      </c>
      <c r="B458" s="3" t="n">
        <v>6.5</v>
      </c>
      <c r="C458" s="2" t="s">
        <v>1241</v>
      </c>
      <c r="D458" s="2" t="n">
        <v>4</v>
      </c>
      <c r="E458" s="2" t="n">
        <v>5</v>
      </c>
      <c r="F458" s="2"/>
      <c r="G458" s="2" t="n">
        <v>0</v>
      </c>
      <c r="H458" s="2" t="n">
        <v>708</v>
      </c>
      <c r="I458" s="2" t="s">
        <v>26</v>
      </c>
      <c r="J458" s="2" t="n">
        <v>598</v>
      </c>
      <c r="K458" s="2" t="n">
        <v>0</v>
      </c>
      <c r="L458" s="2" t="n">
        <v>57.3</v>
      </c>
      <c r="M458" s="2" t="s">
        <v>27</v>
      </c>
      <c r="N458" s="3" t="n">
        <v>20</v>
      </c>
      <c r="O458" s="3" t="n">
        <v>14.129</v>
      </c>
      <c r="P458" s="3" t="n">
        <v>-92.164</v>
      </c>
      <c r="Q458" s="3" t="s">
        <v>1242</v>
      </c>
      <c r="R458" s="2"/>
      <c r="S458" s="2"/>
      <c r="T458" s="4" t="n">
        <f aca="false">DATE(VALUE(MID(C458,7,4)),VALUE(MID(C458,4,2)),VALUE(MID(C458,1,2)))+TIME(VALUE(MID(C458,12,2)),VALUE(MID(C458,15,2)),0)</f>
        <v>41224.9263888889</v>
      </c>
      <c r="U458" s="2" t="str">
        <f aca="false">IF(AND(ISNUMBER(VALUE(MID(A458,7,1))),ISNUMBER(SEARCH("km",A458)),ISNUMBER(SEARCH("of",A458))),"Distance-location","Named-region")</f>
        <v>Named-region</v>
      </c>
      <c r="V458" s="2" t="str">
        <f aca="false">LOWER(M458)</f>
        <v>mww</v>
      </c>
      <c r="W458" s="5" t="str">
        <f aca="false">IF(COUNTIFS($A$2:$A$1001,A458,$C$2:$C$1001,C458)&gt;1,"Duplicate","Unique")</f>
        <v>Unique</v>
      </c>
    </row>
    <row r="459" customFormat="false" ht="15" hidden="false" customHeight="false" outlineLevel="0" collapsed="false">
      <c r="A459" s="2" t="s">
        <v>1243</v>
      </c>
      <c r="B459" s="3" t="n">
        <v>6.8</v>
      </c>
      <c r="C459" s="2" t="s">
        <v>1244</v>
      </c>
      <c r="D459" s="2" t="n">
        <v>7</v>
      </c>
      <c r="E459" s="2" t="n">
        <v>6</v>
      </c>
      <c r="F459" s="2"/>
      <c r="G459" s="2" t="n">
        <v>0</v>
      </c>
      <c r="H459" s="2" t="n">
        <v>795</v>
      </c>
      <c r="I459" s="2" t="s">
        <v>26</v>
      </c>
      <c r="J459" s="2" t="n">
        <v>391</v>
      </c>
      <c r="K459" s="2" t="n">
        <v>0</v>
      </c>
      <c r="L459" s="2" t="n">
        <v>13.7</v>
      </c>
      <c r="M459" s="2" t="s">
        <v>27</v>
      </c>
      <c r="N459" s="3" t="n">
        <v>13.7</v>
      </c>
      <c r="O459" s="3" t="n">
        <v>23.005</v>
      </c>
      <c r="P459" s="3" t="n">
        <v>95.885</v>
      </c>
      <c r="Q459" s="3" t="s">
        <v>1245</v>
      </c>
      <c r="R459" s="2" t="s">
        <v>84</v>
      </c>
      <c r="S459" s="2" t="s">
        <v>805</v>
      </c>
      <c r="T459" s="4" t="n">
        <f aca="false">DATE(VALUE(MID(C459,7,4)),VALUE(MID(C459,4,2)),VALUE(MID(C459,1,2)))+TIME(VALUE(MID(C459,12,2)),VALUE(MID(C459,15,2)),0)</f>
        <v>41224.05</v>
      </c>
      <c r="U459" s="2" t="str">
        <f aca="false">IF(AND(ISNUMBER(VALUE(MID(A459,7,1))),ISNUMBER(SEARCH("km",A459)),ISNUMBER(SEARCH("of",A459))),"Distance-location","Named-region")</f>
        <v>Named-region</v>
      </c>
      <c r="V459" s="2" t="str">
        <f aca="false">LOWER(M459)</f>
        <v>mww</v>
      </c>
      <c r="W459" s="5" t="str">
        <f aca="false">IF(COUNTIFS($A$2:$A$1001,A459,$C$2:$C$1001,C459)&gt;1,"Duplicate","Unique")</f>
        <v>Unique</v>
      </c>
    </row>
    <row r="460" customFormat="false" ht="15" hidden="false" customHeight="false" outlineLevel="0" collapsed="false">
      <c r="A460" s="2" t="s">
        <v>1246</v>
      </c>
      <c r="B460" s="3" t="n">
        <v>7.4</v>
      </c>
      <c r="C460" s="2" t="s">
        <v>1247</v>
      </c>
      <c r="D460" s="2" t="n">
        <v>8</v>
      </c>
      <c r="E460" s="2" t="n">
        <v>7</v>
      </c>
      <c r="F460" s="2" t="s">
        <v>32</v>
      </c>
      <c r="G460" s="2" t="n">
        <v>0</v>
      </c>
      <c r="H460" s="2" t="n">
        <v>1455</v>
      </c>
      <c r="I460" s="2" t="s">
        <v>26</v>
      </c>
      <c r="J460" s="2" t="n">
        <v>751</v>
      </c>
      <c r="K460" s="2" t="n">
        <v>0</v>
      </c>
      <c r="L460" s="2" t="n">
        <v>25.5</v>
      </c>
      <c r="M460" s="2" t="s">
        <v>27</v>
      </c>
      <c r="N460" s="3" t="n">
        <v>24</v>
      </c>
      <c r="O460" s="3" t="n">
        <v>13.988</v>
      </c>
      <c r="P460" s="3" t="n">
        <v>-91.895</v>
      </c>
      <c r="Q460" s="3" t="s">
        <v>1242</v>
      </c>
      <c r="R460" s="2"/>
      <c r="S460" s="2"/>
      <c r="T460" s="4" t="n">
        <f aca="false">DATE(VALUE(MID(C460,7,4)),VALUE(MID(C460,4,2)),VALUE(MID(C460,1,2)))+TIME(VALUE(MID(C460,12,2)),VALUE(MID(C460,15,2)),0)</f>
        <v>41220.6909722222</v>
      </c>
      <c r="U460" s="2" t="str">
        <f aca="false">IF(AND(ISNUMBER(VALUE(MID(A460,7,1))),ISNUMBER(SEARCH("km",A460)),ISNUMBER(SEARCH("of",A460))),"Distance-location","Named-region")</f>
        <v>Named-region</v>
      </c>
      <c r="V460" s="2" t="str">
        <f aca="false">LOWER(M460)</f>
        <v>mww</v>
      </c>
      <c r="W460" s="5" t="str">
        <f aca="false">IF(COUNTIFS($A$2:$A$1001,A460,$C$2:$C$1001,C460)&gt;1,"Duplicate","Unique")</f>
        <v>Unique</v>
      </c>
    </row>
    <row r="461" customFormat="false" ht="15" hidden="false" customHeight="false" outlineLevel="0" collapsed="false">
      <c r="A461" s="2" t="s">
        <v>1248</v>
      </c>
      <c r="B461" s="3" t="n">
        <v>7.8</v>
      </c>
      <c r="C461" s="2" t="s">
        <v>1249</v>
      </c>
      <c r="D461" s="2" t="n">
        <v>8</v>
      </c>
      <c r="E461" s="2" t="n">
        <v>7</v>
      </c>
      <c r="F461" s="2"/>
      <c r="G461" s="2" t="n">
        <v>0</v>
      </c>
      <c r="H461" s="2" t="n">
        <v>1726</v>
      </c>
      <c r="I461" s="2" t="s">
        <v>26</v>
      </c>
      <c r="J461" s="2" t="n">
        <v>807</v>
      </c>
      <c r="K461" s="2" t="n">
        <v>0</v>
      </c>
      <c r="L461" s="2" t="n">
        <v>42.7</v>
      </c>
      <c r="M461" s="2" t="s">
        <v>27</v>
      </c>
      <c r="N461" s="3" t="n">
        <v>14</v>
      </c>
      <c r="O461" s="3" t="n">
        <v>52.788</v>
      </c>
      <c r="P461" s="3" t="n">
        <v>-132.101</v>
      </c>
      <c r="Q461" s="3" t="s">
        <v>1250</v>
      </c>
      <c r="R461" s="2" t="s">
        <v>168</v>
      </c>
      <c r="S461" s="2" t="s">
        <v>1251</v>
      </c>
      <c r="T461" s="4" t="n">
        <f aca="false">DATE(VALUE(MID(C461,7,4)),VALUE(MID(C461,4,2)),VALUE(MID(C461,1,2)))+TIME(VALUE(MID(C461,12,2)),VALUE(MID(C461,15,2)),0)</f>
        <v>41210.1277777778</v>
      </c>
      <c r="U461" s="2" t="str">
        <f aca="false">IF(AND(ISNUMBER(VALUE(MID(A461,7,1))),ISNUMBER(SEARCH("km",A461)),ISNUMBER(SEARCH("of",A461))),"Distance-location","Named-region")</f>
        <v>Named-region</v>
      </c>
      <c r="V461" s="2" t="str">
        <f aca="false">LOWER(M461)</f>
        <v>mww</v>
      </c>
      <c r="W461" s="5" t="str">
        <f aca="false">IF(COUNTIFS($A$2:$A$1001,A461,$C$2:$C$1001,C461)&gt;1,"Duplicate","Unique")</f>
        <v>Unique</v>
      </c>
    </row>
    <row r="462" customFormat="false" ht="15" hidden="false" customHeight="false" outlineLevel="0" collapsed="false">
      <c r="A462" s="2" t="s">
        <v>1252</v>
      </c>
      <c r="B462" s="3" t="n">
        <v>6.5</v>
      </c>
      <c r="C462" s="2" t="s">
        <v>1253</v>
      </c>
      <c r="D462" s="2" t="n">
        <v>6</v>
      </c>
      <c r="E462" s="2" t="n">
        <v>6</v>
      </c>
      <c r="F462" s="2"/>
      <c r="G462" s="2" t="n">
        <v>0</v>
      </c>
      <c r="H462" s="2" t="n">
        <v>745</v>
      </c>
      <c r="I462" s="2" t="s">
        <v>26</v>
      </c>
      <c r="J462" s="2" t="n">
        <v>691</v>
      </c>
      <c r="K462" s="2" t="n">
        <v>0</v>
      </c>
      <c r="L462" s="2" t="n">
        <v>34.4</v>
      </c>
      <c r="M462" s="2" t="s">
        <v>27</v>
      </c>
      <c r="N462" s="3" t="n">
        <v>17</v>
      </c>
      <c r="O462" s="3" t="n">
        <v>10.086</v>
      </c>
      <c r="P462" s="3" t="n">
        <v>-85.298</v>
      </c>
      <c r="Q462" s="3" t="s">
        <v>660</v>
      </c>
      <c r="R462" s="2"/>
      <c r="S462" s="2" t="s">
        <v>660</v>
      </c>
      <c r="T462" s="4" t="n">
        <f aca="false">DATE(VALUE(MID(C462,7,4)),VALUE(MID(C462,4,2)),VALUE(MID(C462,1,2)))+TIME(VALUE(MID(C462,12,2)),VALUE(MID(C462,15,2)),0)</f>
        <v>41206.03125</v>
      </c>
      <c r="U462" s="2" t="str">
        <f aca="false">IF(AND(ISNUMBER(VALUE(MID(A462,7,1))),ISNUMBER(SEARCH("km",A462)),ISNUMBER(SEARCH("of",A462))),"Distance-location","Named-region")</f>
        <v>Named-region</v>
      </c>
      <c r="V462" s="2" t="str">
        <f aca="false">LOWER(M462)</f>
        <v>mww</v>
      </c>
      <c r="W462" s="5" t="str">
        <f aca="false">IF(COUNTIFS($A$2:$A$1001,A462,$C$2:$C$1001,C462)&gt;1,"Duplicate","Unique")</f>
        <v>Unique</v>
      </c>
    </row>
    <row r="463" customFormat="false" ht="15" hidden="false" customHeight="false" outlineLevel="0" collapsed="false">
      <c r="A463" s="2" t="s">
        <v>1254</v>
      </c>
      <c r="B463" s="3" t="n">
        <v>6.6</v>
      </c>
      <c r="C463" s="2" t="s">
        <v>1255</v>
      </c>
      <c r="D463" s="2" t="n">
        <v>3</v>
      </c>
      <c r="E463" s="2" t="n">
        <v>5</v>
      </c>
      <c r="F463" s="2"/>
      <c r="G463" s="2" t="n">
        <v>0</v>
      </c>
      <c r="H463" s="2" t="n">
        <v>675</v>
      </c>
      <c r="I463" s="2" t="s">
        <v>26</v>
      </c>
      <c r="J463" s="2" t="n">
        <v>291</v>
      </c>
      <c r="K463" s="2" t="n">
        <v>0</v>
      </c>
      <c r="L463" s="2" t="n">
        <v>17.7</v>
      </c>
      <c r="M463" s="2" t="s">
        <v>27</v>
      </c>
      <c r="N463" s="3" t="n">
        <v>13</v>
      </c>
      <c r="O463" s="3" t="n">
        <v>-4.892</v>
      </c>
      <c r="P463" s="3" t="n">
        <v>134.03</v>
      </c>
      <c r="Q463" s="3" t="s">
        <v>1256</v>
      </c>
      <c r="R463" s="2"/>
      <c r="S463" s="2" t="s">
        <v>72</v>
      </c>
      <c r="T463" s="4" t="n">
        <f aca="false">DATE(VALUE(MID(C463,7,4)),VALUE(MID(C463,4,2)),VALUE(MID(C463,1,2)))+TIME(VALUE(MID(C463,12,2)),VALUE(MID(C463,15,2)),0)</f>
        <v>41194.0215277778</v>
      </c>
      <c r="U463" s="2" t="str">
        <f aca="false">IF(AND(ISNUMBER(VALUE(MID(A463,7,1))),ISNUMBER(SEARCH("km",A463)),ISNUMBER(SEARCH("of",A463))),"Distance-location","Named-region")</f>
        <v>Named-region</v>
      </c>
      <c r="V463" s="2" t="str">
        <f aca="false">LOWER(M463)</f>
        <v>mww</v>
      </c>
      <c r="W463" s="5" t="str">
        <f aca="false">IF(COUNTIFS($A$2:$A$1001,A463,$C$2:$C$1001,C463)&gt;1,"Duplicate","Unique")</f>
        <v>Unique</v>
      </c>
    </row>
    <row r="464" customFormat="false" ht="15" hidden="false" customHeight="false" outlineLevel="0" collapsed="false">
      <c r="A464" s="2" t="s">
        <v>1257</v>
      </c>
      <c r="B464" s="3" t="n">
        <v>7.3</v>
      </c>
      <c r="C464" s="2" t="s">
        <v>1258</v>
      </c>
      <c r="D464" s="2" t="n">
        <v>7</v>
      </c>
      <c r="E464" s="2" t="n">
        <v>6</v>
      </c>
      <c r="F464" s="2"/>
      <c r="G464" s="2" t="n">
        <v>0</v>
      </c>
      <c r="H464" s="2" t="n">
        <v>1221</v>
      </c>
      <c r="I464" s="2" t="s">
        <v>26</v>
      </c>
      <c r="J464" s="2" t="n">
        <v>934</v>
      </c>
      <c r="K464" s="2" t="n">
        <v>0</v>
      </c>
      <c r="L464" s="2" t="n">
        <v>15.5</v>
      </c>
      <c r="M464" s="2" t="s">
        <v>27</v>
      </c>
      <c r="N464" s="3" t="n">
        <v>170</v>
      </c>
      <c r="O464" s="3" t="n">
        <v>1.929</v>
      </c>
      <c r="P464" s="3" t="n">
        <v>-76.362</v>
      </c>
      <c r="Q464" s="3" t="s">
        <v>1259</v>
      </c>
      <c r="R464" s="2" t="s">
        <v>37</v>
      </c>
      <c r="S464" s="2" t="s">
        <v>58</v>
      </c>
      <c r="T464" s="4" t="n">
        <f aca="false">DATE(VALUE(MID(C464,7,4)),VALUE(MID(C464,4,2)),VALUE(MID(C464,1,2)))+TIME(VALUE(MID(C464,12,2)),VALUE(MID(C464,15,2)),0)</f>
        <v>41182.6881944445</v>
      </c>
      <c r="U464" s="2" t="str">
        <f aca="false">IF(AND(ISNUMBER(VALUE(MID(A464,7,1))),ISNUMBER(SEARCH("km",A464)),ISNUMBER(SEARCH("of",A464))),"Distance-location","Named-region")</f>
        <v>Named-region</v>
      </c>
      <c r="V464" s="2" t="str">
        <f aca="false">LOWER(M464)</f>
        <v>mww</v>
      </c>
      <c r="W464" s="5" t="str">
        <f aca="false">IF(COUNTIFS($A$2:$A$1001,A464,$C$2:$C$1001,C464)&gt;1,"Duplicate","Unique")</f>
        <v>Unique</v>
      </c>
    </row>
    <row r="465" customFormat="false" ht="15" hidden="false" customHeight="false" outlineLevel="0" collapsed="false">
      <c r="A465" s="2" t="s">
        <v>1260</v>
      </c>
      <c r="B465" s="3" t="n">
        <v>7.6</v>
      </c>
      <c r="C465" s="2" t="s">
        <v>1261</v>
      </c>
      <c r="D465" s="2" t="n">
        <v>8</v>
      </c>
      <c r="E465" s="2" t="n">
        <v>7</v>
      </c>
      <c r="F465" s="2"/>
      <c r="G465" s="2" t="n">
        <v>0</v>
      </c>
      <c r="H465" s="2" t="n">
        <v>1555</v>
      </c>
      <c r="I465" s="2" t="s">
        <v>26</v>
      </c>
      <c r="J465" s="2" t="n">
        <v>703</v>
      </c>
      <c r="K465" s="2" t="n">
        <v>0</v>
      </c>
      <c r="L465" s="2" t="n">
        <v>34.3</v>
      </c>
      <c r="M465" s="2" t="s">
        <v>27</v>
      </c>
      <c r="N465" s="3" t="n">
        <v>35</v>
      </c>
      <c r="O465" s="3" t="n">
        <v>10.085</v>
      </c>
      <c r="P465" s="3" t="n">
        <v>-85.315</v>
      </c>
      <c r="Q465" s="3" t="s">
        <v>1262</v>
      </c>
      <c r="R465" s="2"/>
      <c r="S465" s="2" t="s">
        <v>660</v>
      </c>
      <c r="T465" s="4" t="n">
        <f aca="false">DATE(VALUE(MID(C465,7,4)),VALUE(MID(C465,4,2)),VALUE(MID(C465,1,2)))+TIME(VALUE(MID(C465,12,2)),VALUE(MID(C465,15,2)),0)</f>
        <v>41157.6125</v>
      </c>
      <c r="U465" s="2" t="str">
        <f aca="false">IF(AND(ISNUMBER(VALUE(MID(A465,7,1))),ISNUMBER(SEARCH("km",A465)),ISNUMBER(SEARCH("of",A465))),"Distance-location","Named-region")</f>
        <v>Named-region</v>
      </c>
      <c r="V465" s="2" t="str">
        <f aca="false">LOWER(M465)</f>
        <v>mww</v>
      </c>
      <c r="W465" s="5" t="str">
        <f aca="false">IF(COUNTIFS($A$2:$A$1001,A465,$C$2:$C$1001,C465)&gt;1,"Duplicate","Unique")</f>
        <v>Unique</v>
      </c>
    </row>
    <row r="466" customFormat="false" ht="15" hidden="false" customHeight="false" outlineLevel="0" collapsed="false">
      <c r="A466" s="2" t="s">
        <v>1263</v>
      </c>
      <c r="B466" s="3" t="n">
        <v>7.6</v>
      </c>
      <c r="C466" s="2" t="s">
        <v>1264</v>
      </c>
      <c r="D466" s="2" t="n">
        <v>8</v>
      </c>
      <c r="E466" s="2" t="n">
        <v>5</v>
      </c>
      <c r="F466" s="2"/>
      <c r="G466" s="2" t="n">
        <v>0</v>
      </c>
      <c r="H466" s="2" t="n">
        <v>1115</v>
      </c>
      <c r="I466" s="2" t="s">
        <v>26</v>
      </c>
      <c r="J466" s="2" t="n">
        <v>682</v>
      </c>
      <c r="K466" s="2" t="n">
        <v>0</v>
      </c>
      <c r="L466" s="2" t="n">
        <v>10.2</v>
      </c>
      <c r="M466" s="2" t="s">
        <v>27</v>
      </c>
      <c r="N466" s="3" t="n">
        <v>28</v>
      </c>
      <c r="O466" s="3" t="n">
        <v>10.811</v>
      </c>
      <c r="P466" s="3" t="n">
        <v>126.638</v>
      </c>
      <c r="Q466" s="3" t="s">
        <v>1265</v>
      </c>
      <c r="R466" s="2"/>
      <c r="S466" s="2"/>
      <c r="T466" s="4" t="n">
        <f aca="false">DATE(VALUE(MID(C466,7,4)),VALUE(MID(C466,4,2)),VALUE(MID(C466,1,2)))+TIME(VALUE(MID(C466,12,2)),VALUE(MID(C466,15,2)),0)</f>
        <v>41152.5326388889</v>
      </c>
      <c r="U466" s="2" t="str">
        <f aca="false">IF(AND(ISNUMBER(VALUE(MID(A466,7,1))),ISNUMBER(SEARCH("km",A466)),ISNUMBER(SEARCH("of",A466))),"Distance-location","Named-region")</f>
        <v>Named-region</v>
      </c>
      <c r="V466" s="2" t="str">
        <f aca="false">LOWER(M466)</f>
        <v>mww</v>
      </c>
      <c r="W466" s="5" t="str">
        <f aca="false">IF(COUNTIFS($A$2:$A$1001,A466,$C$2:$C$1001,C466)&gt;1,"Duplicate","Unique")</f>
        <v>Unique</v>
      </c>
    </row>
    <row r="467" customFormat="false" ht="15" hidden="false" customHeight="false" outlineLevel="0" collapsed="false">
      <c r="A467" s="2" t="s">
        <v>1266</v>
      </c>
      <c r="B467" s="3" t="n">
        <v>7.3</v>
      </c>
      <c r="C467" s="2" t="s">
        <v>1267</v>
      </c>
      <c r="D467" s="2" t="n">
        <v>5</v>
      </c>
      <c r="E467" s="2" t="n">
        <v>5</v>
      </c>
      <c r="F467" s="2"/>
      <c r="G467" s="2" t="n">
        <v>0</v>
      </c>
      <c r="H467" s="2" t="n">
        <v>994</v>
      </c>
      <c r="I467" s="2" t="s">
        <v>26</v>
      </c>
      <c r="J467" s="2" t="n">
        <v>417</v>
      </c>
      <c r="K467" s="2" t="n">
        <v>0</v>
      </c>
      <c r="L467" s="2" t="n">
        <v>37</v>
      </c>
      <c r="M467" s="2" t="s">
        <v>27</v>
      </c>
      <c r="N467" s="3" t="n">
        <v>28</v>
      </c>
      <c r="O467" s="3" t="n">
        <v>12.139</v>
      </c>
      <c r="P467" s="3" t="n">
        <v>-88.59</v>
      </c>
      <c r="Q467" s="3" t="s">
        <v>772</v>
      </c>
      <c r="R467" s="2"/>
      <c r="S467" s="2"/>
      <c r="T467" s="4" t="n">
        <f aca="false">DATE(VALUE(MID(C467,7,4)),VALUE(MID(C467,4,2)),VALUE(MID(C467,1,2)))+TIME(VALUE(MID(C467,12,2)),VALUE(MID(C467,15,2)),0)</f>
        <v>41148.1923611111</v>
      </c>
      <c r="U467" s="2" t="str">
        <f aca="false">IF(AND(ISNUMBER(VALUE(MID(A467,7,1))),ISNUMBER(SEARCH("km",A467)),ISNUMBER(SEARCH("of",A467))),"Distance-location","Named-region")</f>
        <v>Named-region</v>
      </c>
      <c r="V467" s="2" t="str">
        <f aca="false">LOWER(M467)</f>
        <v>mww</v>
      </c>
      <c r="W467" s="5" t="str">
        <f aca="false">IF(COUNTIFS($A$2:$A$1001,A467,$C$2:$C$1001,C467)&gt;1,"Duplicate","Unique")</f>
        <v>Unique</v>
      </c>
    </row>
    <row r="468" customFormat="false" ht="15" hidden="false" customHeight="false" outlineLevel="0" collapsed="false">
      <c r="A468" s="2" t="s">
        <v>1268</v>
      </c>
      <c r="B468" s="3" t="n">
        <v>6.6</v>
      </c>
      <c r="C468" s="2" t="s">
        <v>1269</v>
      </c>
      <c r="D468" s="2" t="n">
        <v>4</v>
      </c>
      <c r="E468" s="2" t="n">
        <v>5</v>
      </c>
      <c r="F468" s="2"/>
      <c r="G468" s="2" t="n">
        <v>0</v>
      </c>
      <c r="H468" s="2" t="n">
        <v>678</v>
      </c>
      <c r="I468" s="2" t="s">
        <v>26</v>
      </c>
      <c r="J468" s="2" t="n">
        <v>497</v>
      </c>
      <c r="K468" s="2" t="n">
        <v>0</v>
      </c>
      <c r="L468" s="2" t="n">
        <v>14.6</v>
      </c>
      <c r="M468" s="2" t="s">
        <v>27</v>
      </c>
      <c r="N468" s="3" t="n">
        <v>91.1</v>
      </c>
      <c r="O468" s="3" t="n">
        <v>2.19</v>
      </c>
      <c r="P468" s="3" t="n">
        <v>126.837</v>
      </c>
      <c r="Q468" s="3" t="s">
        <v>132</v>
      </c>
      <c r="R468" s="2"/>
      <c r="S468" s="2" t="s">
        <v>72</v>
      </c>
      <c r="T468" s="4" t="n">
        <f aca="false">DATE(VALUE(MID(C468,7,4)),VALUE(MID(C468,4,2)),VALUE(MID(C468,1,2)))+TIME(VALUE(MID(C468,12,2)),VALUE(MID(C468,15,2)),0)</f>
        <v>41147.6284722222</v>
      </c>
      <c r="U468" s="2" t="str">
        <f aca="false">IF(AND(ISNUMBER(VALUE(MID(A468,7,1))),ISNUMBER(SEARCH("km",A468)),ISNUMBER(SEARCH("of",A468))),"Distance-location","Named-region")</f>
        <v>Named-region</v>
      </c>
      <c r="V468" s="2" t="str">
        <f aca="false">LOWER(M468)</f>
        <v>mww</v>
      </c>
      <c r="W468" s="5" t="str">
        <f aca="false">IF(COUNTIFS($A$2:$A$1001,A468,$C$2:$C$1001,C468)&gt;1,"Duplicate","Unique")</f>
        <v>Unique</v>
      </c>
    </row>
    <row r="469" customFormat="false" ht="15" hidden="false" customHeight="false" outlineLevel="0" collapsed="false">
      <c r="A469" s="2" t="s">
        <v>1270</v>
      </c>
      <c r="B469" s="3" t="n">
        <v>7.7</v>
      </c>
      <c r="C469" s="2" t="s">
        <v>1271</v>
      </c>
      <c r="D469" s="2" t="n">
        <v>7</v>
      </c>
      <c r="E469" s="2" t="n">
        <v>4</v>
      </c>
      <c r="F469" s="2"/>
      <c r="G469" s="2" t="n">
        <v>0</v>
      </c>
      <c r="H469" s="2" t="n">
        <v>941</v>
      </c>
      <c r="I469" s="2" t="s">
        <v>26</v>
      </c>
      <c r="J469" s="2" t="n">
        <v>862</v>
      </c>
      <c r="K469" s="2" t="n">
        <v>0</v>
      </c>
      <c r="L469" s="2" t="n">
        <v>13.8</v>
      </c>
      <c r="M469" s="2" t="s">
        <v>27</v>
      </c>
      <c r="N469" s="3" t="n">
        <v>583.2</v>
      </c>
      <c r="O469" s="3" t="n">
        <v>49.8</v>
      </c>
      <c r="P469" s="3" t="n">
        <v>145.064</v>
      </c>
      <c r="Q469" s="3" t="s">
        <v>1272</v>
      </c>
      <c r="R469" s="2"/>
      <c r="S469" s="2"/>
      <c r="T469" s="4" t="n">
        <f aca="false">DATE(VALUE(MID(C469,7,4)),VALUE(MID(C469,4,2)),VALUE(MID(C469,1,2)))+TIME(VALUE(MID(C469,12,2)),VALUE(MID(C469,15,2)),0)</f>
        <v>41135.1243055556</v>
      </c>
      <c r="U469" s="2" t="str">
        <f aca="false">IF(AND(ISNUMBER(VALUE(MID(A469,7,1))),ISNUMBER(SEARCH("km",A469)),ISNUMBER(SEARCH("of",A469))),"Distance-location","Named-region")</f>
        <v>Named-region</v>
      </c>
      <c r="V469" s="2" t="str">
        <f aca="false">LOWER(M469)</f>
        <v>mww</v>
      </c>
      <c r="W469" s="5" t="str">
        <f aca="false">IF(COUNTIFS($A$2:$A$1001,A469,$C$2:$C$1001,C469)&gt;1,"Duplicate","Unique")</f>
        <v>Unique</v>
      </c>
    </row>
    <row r="470" customFormat="false" ht="15" hidden="false" customHeight="false" outlineLevel="0" collapsed="false">
      <c r="A470" s="2" t="s">
        <v>1273</v>
      </c>
      <c r="B470" s="3" t="n">
        <v>6.5</v>
      </c>
      <c r="C470" s="2" t="s">
        <v>1274</v>
      </c>
      <c r="D470" s="2" t="n">
        <v>5</v>
      </c>
      <c r="E470" s="2" t="n">
        <v>6</v>
      </c>
      <c r="F470" s="2"/>
      <c r="G470" s="2" t="n">
        <v>0</v>
      </c>
      <c r="H470" s="2" t="n">
        <v>653</v>
      </c>
      <c r="I470" s="2" t="s">
        <v>26</v>
      </c>
      <c r="J470" s="2" t="n">
        <v>576</v>
      </c>
      <c r="K470" s="2" t="n">
        <v>0</v>
      </c>
      <c r="L470" s="2" t="n">
        <v>11.7</v>
      </c>
      <c r="M470" s="2" t="s">
        <v>27</v>
      </c>
      <c r="N470" s="3" t="n">
        <v>41</v>
      </c>
      <c r="O470" s="3" t="n">
        <v>-4.651</v>
      </c>
      <c r="P470" s="3" t="n">
        <v>153.173</v>
      </c>
      <c r="Q470" s="3" t="s">
        <v>629</v>
      </c>
      <c r="R470" s="2"/>
      <c r="S470" s="2" t="s">
        <v>89</v>
      </c>
      <c r="T470" s="4" t="n">
        <f aca="false">DATE(VALUE(MID(C470,7,4)),VALUE(MID(C470,4,2)),VALUE(MID(C470,1,2)))+TIME(VALUE(MID(C470,12,2)),VALUE(MID(C470,15,2)),0)</f>
        <v>41118.8354166667</v>
      </c>
      <c r="U470" s="2" t="str">
        <f aca="false">IF(AND(ISNUMBER(VALUE(MID(A470,7,1))),ISNUMBER(SEARCH("km",A470)),ISNUMBER(SEARCH("of",A470))),"Distance-location","Named-region")</f>
        <v>Named-region</v>
      </c>
      <c r="V470" s="2" t="str">
        <f aca="false">LOWER(M470)</f>
        <v>mww</v>
      </c>
      <c r="W470" s="5" t="str">
        <f aca="false">IF(COUNTIFS($A$2:$A$1001,A470,$C$2:$C$1001,C470)&gt;1,"Duplicate","Unique")</f>
        <v>Unique</v>
      </c>
    </row>
    <row r="471" customFormat="false" ht="15" hidden="false" customHeight="false" outlineLevel="0" collapsed="false">
      <c r="A471" s="2" t="s">
        <v>1275</v>
      </c>
      <c r="B471" s="3" t="n">
        <v>6.6</v>
      </c>
      <c r="C471" s="2" t="s">
        <v>1276</v>
      </c>
      <c r="D471" s="2" t="n">
        <v>4</v>
      </c>
      <c r="E471" s="2" t="n">
        <v>5</v>
      </c>
      <c r="F471" s="2"/>
      <c r="G471" s="2" t="n">
        <v>0</v>
      </c>
      <c r="H471" s="2" t="n">
        <v>675</v>
      </c>
      <c r="I471" s="2" t="s">
        <v>26</v>
      </c>
      <c r="J471" s="2" t="n">
        <v>529</v>
      </c>
      <c r="K471" s="2" t="n">
        <v>0</v>
      </c>
      <c r="L471" s="2" t="n">
        <v>15.7</v>
      </c>
      <c r="M471" s="2" t="s">
        <v>27</v>
      </c>
      <c r="N471" s="3" t="n">
        <v>134.7</v>
      </c>
      <c r="O471" s="3" t="n">
        <v>-18.685</v>
      </c>
      <c r="P471" s="3" t="n">
        <v>-174.705</v>
      </c>
      <c r="Q471" s="3" t="s">
        <v>153</v>
      </c>
      <c r="R471" s="2"/>
      <c r="S471" s="2" t="s">
        <v>51</v>
      </c>
      <c r="T471" s="4" t="n">
        <f aca="false">DATE(VALUE(MID(C471,7,4)),VALUE(MID(C471,4,2)),VALUE(MID(C471,1,2)))+TIME(VALUE(MID(C471,12,2)),VALUE(MID(C471,15,2)),0)</f>
        <v>41027.4222222222</v>
      </c>
      <c r="U471" s="2" t="str">
        <f aca="false">IF(AND(ISNUMBER(VALUE(MID(A471,7,1))),ISNUMBER(SEARCH("km",A471)),ISNUMBER(SEARCH("of",A471))),"Distance-location","Named-region")</f>
        <v>Named-region</v>
      </c>
      <c r="V471" s="2" t="str">
        <f aca="false">LOWER(M471)</f>
        <v>mww</v>
      </c>
      <c r="W471" s="5" t="str">
        <f aca="false">IF(COUNTIFS($A$2:$A$1001,A471,$C$2:$C$1001,C471)&gt;1,"Duplicate","Unique")</f>
        <v>Unique</v>
      </c>
    </row>
    <row r="472" customFormat="false" ht="15" hidden="false" customHeight="false" outlineLevel="0" collapsed="false">
      <c r="A472" s="2" t="s">
        <v>1277</v>
      </c>
      <c r="B472" s="3" t="n">
        <v>6.7</v>
      </c>
      <c r="C472" s="2" t="s">
        <v>1278</v>
      </c>
      <c r="D472" s="2" t="n">
        <v>0</v>
      </c>
      <c r="E472" s="2" t="n">
        <v>7</v>
      </c>
      <c r="F472" s="2"/>
      <c r="G472" s="2" t="n">
        <v>0</v>
      </c>
      <c r="H472" s="2" t="n">
        <v>691</v>
      </c>
      <c r="I472" s="2" t="s">
        <v>26</v>
      </c>
      <c r="J472" s="2" t="n">
        <v>370</v>
      </c>
      <c r="K472" s="2" t="n">
        <v>0</v>
      </c>
      <c r="L472" s="2" t="n">
        <v>15.4</v>
      </c>
      <c r="M472" s="2" t="s">
        <v>27</v>
      </c>
      <c r="N472" s="3" t="n">
        <v>16</v>
      </c>
      <c r="O472" s="3" t="n">
        <v>-1.617</v>
      </c>
      <c r="P472" s="3" t="n">
        <v>134.276</v>
      </c>
      <c r="Q472" s="3" t="s">
        <v>1279</v>
      </c>
      <c r="R472" s="2"/>
      <c r="S472" s="2" t="s">
        <v>72</v>
      </c>
      <c r="T472" s="4" t="n">
        <f aca="false">DATE(VALUE(MID(C472,7,4)),VALUE(MID(C472,4,2)),VALUE(MID(C472,1,2)))+TIME(VALUE(MID(C472,12,2)),VALUE(MID(C472,15,2)),0)</f>
        <v>41020.0527777778</v>
      </c>
      <c r="U472" s="2" t="str">
        <f aca="false">IF(AND(ISNUMBER(VALUE(MID(A472,7,1))),ISNUMBER(SEARCH("km",A472)),ISNUMBER(SEARCH("of",A472))),"Distance-location","Named-region")</f>
        <v>Named-region</v>
      </c>
      <c r="V472" s="2" t="str">
        <f aca="false">LOWER(M472)</f>
        <v>mww</v>
      </c>
      <c r="W472" s="5" t="str">
        <f aca="false">IF(COUNTIFS($A$2:$A$1001,A472,$C$2:$C$1001,C472)&gt;1,"Duplicate","Unique")</f>
        <v>Unique</v>
      </c>
    </row>
    <row r="473" customFormat="false" ht="15" hidden="false" customHeight="false" outlineLevel="0" collapsed="false">
      <c r="A473" s="2" t="s">
        <v>1280</v>
      </c>
      <c r="B473" s="3" t="n">
        <v>6.8</v>
      </c>
      <c r="C473" s="2" t="s">
        <v>1281</v>
      </c>
      <c r="D473" s="2" t="n">
        <v>6</v>
      </c>
      <c r="E473" s="2" t="n">
        <v>5</v>
      </c>
      <c r="F473" s="2"/>
      <c r="G473" s="2" t="n">
        <v>0</v>
      </c>
      <c r="H473" s="2" t="n">
        <v>732</v>
      </c>
      <c r="I473" s="2" t="s">
        <v>26</v>
      </c>
      <c r="J473" s="2" t="n">
        <v>597</v>
      </c>
      <c r="K473" s="2" t="n">
        <v>0</v>
      </c>
      <c r="L473" s="2" t="n">
        <v>12.6</v>
      </c>
      <c r="M473" s="2" t="s">
        <v>27</v>
      </c>
      <c r="N473" s="3" t="n">
        <v>198</v>
      </c>
      <c r="O473" s="3" t="n">
        <v>-5.462</v>
      </c>
      <c r="P473" s="3" t="n">
        <v>147.117</v>
      </c>
      <c r="Q473" s="3" t="s">
        <v>1282</v>
      </c>
      <c r="R473" s="2"/>
      <c r="S473" s="2" t="s">
        <v>89</v>
      </c>
      <c r="T473" s="4" t="n">
        <f aca="false">DATE(VALUE(MID(C473,7,4)),VALUE(MID(C473,4,2)),VALUE(MID(C473,1,2)))+TIME(VALUE(MID(C473,12,2)),VALUE(MID(C473,15,2)),0)</f>
        <v>41016.3006944444</v>
      </c>
      <c r="U473" s="2" t="str">
        <f aca="false">IF(AND(ISNUMBER(VALUE(MID(A473,7,1))),ISNUMBER(SEARCH("km",A473)),ISNUMBER(SEARCH("of",A473))),"Distance-location","Named-region")</f>
        <v>Named-region</v>
      </c>
      <c r="V473" s="2" t="str">
        <f aca="false">LOWER(M473)</f>
        <v>mww</v>
      </c>
      <c r="W473" s="5" t="str">
        <f aca="false">IF(COUNTIFS($A$2:$A$1001,A473,$C$2:$C$1001,C473)&gt;1,"Duplicate","Unique")</f>
        <v>Unique</v>
      </c>
    </row>
    <row r="474" customFormat="false" ht="15" hidden="false" customHeight="false" outlineLevel="0" collapsed="false">
      <c r="A474" s="2" t="s">
        <v>1283</v>
      </c>
      <c r="B474" s="3" t="n">
        <v>6.7</v>
      </c>
      <c r="C474" s="2" t="s">
        <v>1284</v>
      </c>
      <c r="D474" s="2" t="n">
        <v>0</v>
      </c>
      <c r="E474" s="2" t="n">
        <v>7</v>
      </c>
      <c r="F474" s="2"/>
      <c r="G474" s="2" t="n">
        <v>0</v>
      </c>
      <c r="H474" s="2" t="n">
        <v>691</v>
      </c>
      <c r="I474" s="2" t="s">
        <v>26</v>
      </c>
      <c r="J474" s="2" t="n">
        <v>518</v>
      </c>
      <c r="K474" s="2" t="n">
        <v>0</v>
      </c>
      <c r="L474" s="2" t="n">
        <v>26.9</v>
      </c>
      <c r="M474" s="2" t="s">
        <v>27</v>
      </c>
      <c r="N474" s="3" t="n">
        <v>29</v>
      </c>
      <c r="O474" s="3" t="n">
        <v>-32.625</v>
      </c>
      <c r="P474" s="3" t="n">
        <v>-71.365</v>
      </c>
      <c r="Q474" s="3" t="s">
        <v>1285</v>
      </c>
      <c r="R474" s="2" t="s">
        <v>37</v>
      </c>
      <c r="S474" s="2" t="s">
        <v>377</v>
      </c>
      <c r="T474" s="4" t="n">
        <f aca="false">DATE(VALUE(MID(C474,7,4)),VALUE(MID(C474,4,2)),VALUE(MID(C474,1,2)))+TIME(VALUE(MID(C474,12,2)),VALUE(MID(C474,15,2)),0)</f>
        <v>41016.1597222222</v>
      </c>
      <c r="U474" s="2" t="str">
        <f aca="false">IF(AND(ISNUMBER(VALUE(MID(A474,7,1))),ISNUMBER(SEARCH("km",A474)),ISNUMBER(SEARCH("of",A474))),"Distance-location","Named-region")</f>
        <v>Named-region</v>
      </c>
      <c r="V474" s="2" t="str">
        <f aca="false">LOWER(M474)</f>
        <v>mww</v>
      </c>
      <c r="W474" s="5" t="str">
        <f aca="false">IF(COUNTIFS($A$2:$A$1001,A474,$C$2:$C$1001,C474)&gt;1,"Duplicate","Unique")</f>
        <v>Unique</v>
      </c>
    </row>
    <row r="475" customFormat="false" ht="15" hidden="false" customHeight="false" outlineLevel="0" collapsed="false">
      <c r="A475" s="2" t="s">
        <v>1286</v>
      </c>
      <c r="B475" s="3" t="n">
        <v>7</v>
      </c>
      <c r="C475" s="2" t="s">
        <v>1287</v>
      </c>
      <c r="D475" s="2" t="n">
        <v>7</v>
      </c>
      <c r="E475" s="2" t="n">
        <v>7</v>
      </c>
      <c r="F475" s="2"/>
      <c r="G475" s="2" t="n">
        <v>0</v>
      </c>
      <c r="H475" s="2" t="n">
        <v>1000</v>
      </c>
      <c r="I475" s="2" t="s">
        <v>26</v>
      </c>
      <c r="J475" s="2" t="n">
        <v>474</v>
      </c>
      <c r="K475" s="2" t="n">
        <v>0</v>
      </c>
      <c r="L475" s="2" t="n">
        <v>95.9</v>
      </c>
      <c r="M475" s="2" t="s">
        <v>27</v>
      </c>
      <c r="N475" s="3" t="n">
        <v>13</v>
      </c>
      <c r="O475" s="3" t="n">
        <v>28.696</v>
      </c>
      <c r="P475" s="3" t="n">
        <v>-113.104</v>
      </c>
      <c r="Q475" s="3" t="s">
        <v>1288</v>
      </c>
      <c r="R475" s="2" t="s">
        <v>168</v>
      </c>
      <c r="S475" s="2" t="s">
        <v>169</v>
      </c>
      <c r="T475" s="4" t="n">
        <f aca="false">DATE(VALUE(MID(C475,7,4)),VALUE(MID(C475,4,2)),VALUE(MID(C475,1,2)))+TIME(VALUE(MID(C475,12,2)),VALUE(MID(C475,15,2)),0)</f>
        <v>41011.3020833333</v>
      </c>
      <c r="U475" s="2" t="str">
        <f aca="false">IF(AND(ISNUMBER(VALUE(MID(A475,7,1))),ISNUMBER(SEARCH("km",A475)),ISNUMBER(SEARCH("of",A475))),"Distance-location","Named-region")</f>
        <v>Named-region</v>
      </c>
      <c r="V475" s="2" t="str">
        <f aca="false">LOWER(M475)</f>
        <v>mww</v>
      </c>
      <c r="W475" s="5" t="str">
        <f aca="false">IF(COUNTIFS($A$2:$A$1001,A475,$C$2:$C$1001,C475)&gt;1,"Duplicate","Unique")</f>
        <v>Unique</v>
      </c>
    </row>
    <row r="476" customFormat="false" ht="15" hidden="false" customHeight="false" outlineLevel="0" collapsed="false">
      <c r="A476" s="2" t="s">
        <v>1289</v>
      </c>
      <c r="B476" s="3" t="n">
        <v>6.5</v>
      </c>
      <c r="C476" s="2" t="s">
        <v>1290</v>
      </c>
      <c r="D476" s="2" t="n">
        <v>7</v>
      </c>
      <c r="E476" s="2" t="n">
        <v>6</v>
      </c>
      <c r="F476" s="2"/>
      <c r="G476" s="2" t="n">
        <v>0</v>
      </c>
      <c r="H476" s="2" t="n">
        <v>1171</v>
      </c>
      <c r="I476" s="2" t="s">
        <v>26</v>
      </c>
      <c r="J476" s="2" t="n">
        <v>599</v>
      </c>
      <c r="K476" s="2" t="n">
        <v>0</v>
      </c>
      <c r="L476" s="2" t="n">
        <v>54.1</v>
      </c>
      <c r="M476" s="2" t="s">
        <v>158</v>
      </c>
      <c r="N476" s="3" t="n">
        <v>20</v>
      </c>
      <c r="O476" s="3" t="n">
        <v>18.229</v>
      </c>
      <c r="P476" s="3" t="n">
        <v>-102.689</v>
      </c>
      <c r="Q476" s="3" t="s">
        <v>1291</v>
      </c>
      <c r="R476" s="2" t="s">
        <v>168</v>
      </c>
      <c r="S476" s="2" t="s">
        <v>169</v>
      </c>
      <c r="T476" s="4" t="n">
        <f aca="false">DATE(VALUE(MID(C476,7,4)),VALUE(MID(C476,4,2)),VALUE(MID(C476,1,2)))+TIME(VALUE(MID(C476,12,2)),VALUE(MID(C476,15,2)),0)</f>
        <v>41010.9548611111</v>
      </c>
      <c r="U476" s="2" t="str">
        <f aca="false">IF(AND(ISNUMBER(VALUE(MID(A476,7,1))),ISNUMBER(SEARCH("km",A476)),ISNUMBER(SEARCH("of",A476))),"Distance-location","Named-region")</f>
        <v>Named-region</v>
      </c>
      <c r="V476" s="2" t="str">
        <f aca="false">LOWER(M476)</f>
        <v>mwb</v>
      </c>
      <c r="W476" s="5" t="str">
        <f aca="false">IF(COUNTIFS($A$2:$A$1001,A476,$C$2:$C$1001,C476)&gt;1,"Duplicate","Unique")</f>
        <v>Unique</v>
      </c>
    </row>
    <row r="477" customFormat="false" ht="28.35" hidden="false" customHeight="false" outlineLevel="0" collapsed="false">
      <c r="A477" s="2" t="s">
        <v>1292</v>
      </c>
      <c r="B477" s="3" t="n">
        <v>8.2</v>
      </c>
      <c r="C477" s="2" t="s">
        <v>1293</v>
      </c>
      <c r="D477" s="2" t="n">
        <v>9</v>
      </c>
      <c r="E477" s="2" t="n">
        <v>6</v>
      </c>
      <c r="F477" s="2" t="s">
        <v>25</v>
      </c>
      <c r="G477" s="2" t="n">
        <v>0</v>
      </c>
      <c r="H477" s="2" t="n">
        <v>1213</v>
      </c>
      <c r="I477" s="2" t="s">
        <v>26</v>
      </c>
      <c r="J477" s="2" t="n">
        <v>341</v>
      </c>
      <c r="K477" s="2" t="n">
        <v>0</v>
      </c>
      <c r="L477" s="2" t="n">
        <v>14.9</v>
      </c>
      <c r="M477" s="2" t="s">
        <v>131</v>
      </c>
      <c r="N477" s="3" t="n">
        <v>25.1</v>
      </c>
      <c r="O477" s="3" t="n">
        <v>0.802</v>
      </c>
      <c r="P477" s="3" t="n">
        <v>92.463</v>
      </c>
      <c r="Q477" s="3" t="s">
        <v>1294</v>
      </c>
      <c r="R477" s="2"/>
      <c r="S477" s="2"/>
      <c r="T477" s="4" t="n">
        <f aca="false">DATE(VALUE(MID(C477,7,4)),VALUE(MID(C477,4,2)),VALUE(MID(C477,1,2)))+TIME(VALUE(MID(C477,12,2)),VALUE(MID(C477,15,2)),0)</f>
        <v>41010.4465277778</v>
      </c>
      <c r="U477" s="2" t="str">
        <f aca="false">IF(AND(ISNUMBER(VALUE(MID(A477,7,1))),ISNUMBER(SEARCH("km",A477)),ISNUMBER(SEARCH("of",A477))),"Distance-location","Named-region")</f>
        <v>Named-region</v>
      </c>
      <c r="V477" s="2" t="str">
        <f aca="false">LOWER(M477)</f>
        <v>mwc</v>
      </c>
      <c r="W477" s="5" t="str">
        <f aca="false">IF(COUNTIFS($A$2:$A$1001,A477,$C$2:$C$1001,C477)&gt;1,"Duplicate","Unique")</f>
        <v>Unique</v>
      </c>
    </row>
    <row r="478" customFormat="false" ht="28.35" hidden="false" customHeight="false" outlineLevel="0" collapsed="false">
      <c r="A478" s="2" t="s">
        <v>1295</v>
      </c>
      <c r="B478" s="3" t="n">
        <v>8.6</v>
      </c>
      <c r="C478" s="2" t="s">
        <v>1296</v>
      </c>
      <c r="D478" s="2" t="n">
        <v>9</v>
      </c>
      <c r="E478" s="2" t="n">
        <v>7</v>
      </c>
      <c r="F478" s="2" t="s">
        <v>32</v>
      </c>
      <c r="G478" s="2" t="n">
        <v>0</v>
      </c>
      <c r="H478" s="2" t="n">
        <v>2048</v>
      </c>
      <c r="I478" s="2" t="s">
        <v>1297</v>
      </c>
      <c r="J478" s="2" t="n">
        <v>499</v>
      </c>
      <c r="K478" s="2" t="n">
        <v>0</v>
      </c>
      <c r="L478" s="2" t="n">
        <v>16.6</v>
      </c>
      <c r="M478" s="2" t="s">
        <v>489</v>
      </c>
      <c r="N478" s="3" t="n">
        <v>20</v>
      </c>
      <c r="O478" s="3" t="n">
        <v>2.327</v>
      </c>
      <c r="P478" s="3" t="n">
        <v>93.063</v>
      </c>
      <c r="Q478" s="3" t="s">
        <v>1294</v>
      </c>
      <c r="R478" s="2"/>
      <c r="S478" s="2"/>
      <c r="T478" s="4" t="n">
        <f aca="false">DATE(VALUE(MID(C478,7,4)),VALUE(MID(C478,4,2)),VALUE(MID(C478,1,2)))+TIME(VALUE(MID(C478,12,2)),VALUE(MID(C478,15,2)),0)</f>
        <v>41010.3597222222</v>
      </c>
      <c r="U478" s="2" t="str">
        <f aca="false">IF(AND(ISNUMBER(VALUE(MID(A478,7,1))),ISNUMBER(SEARCH("km",A478)),ISNUMBER(SEARCH("of",A478))),"Distance-location","Named-region")</f>
        <v>Named-region</v>
      </c>
      <c r="V478" s="2" t="str">
        <f aca="false">LOWER(M478)</f>
        <v>mw</v>
      </c>
      <c r="W478" s="5" t="str">
        <f aca="false">IF(COUNTIFS($A$2:$A$1001,A478,$C$2:$C$1001,C478)&gt;1,"Duplicate","Unique")</f>
        <v>Unique</v>
      </c>
    </row>
    <row r="479" customFormat="false" ht="15" hidden="false" customHeight="false" outlineLevel="0" collapsed="false">
      <c r="A479" s="2" t="s">
        <v>1298</v>
      </c>
      <c r="B479" s="3" t="n">
        <v>7.1</v>
      </c>
      <c r="C479" s="2" t="s">
        <v>1299</v>
      </c>
      <c r="D479" s="2" t="n">
        <v>7</v>
      </c>
      <c r="E479" s="2" t="n">
        <v>7</v>
      </c>
      <c r="F479" s="2"/>
      <c r="G479" s="2" t="n">
        <v>0</v>
      </c>
      <c r="H479" s="2" t="n">
        <v>1496</v>
      </c>
      <c r="I479" s="2" t="s">
        <v>26</v>
      </c>
      <c r="J479" s="2" t="n">
        <v>553</v>
      </c>
      <c r="K479" s="2" t="n">
        <v>0</v>
      </c>
      <c r="L479" s="2" t="n">
        <v>15.2</v>
      </c>
      <c r="M479" s="2" t="s">
        <v>27</v>
      </c>
      <c r="N479" s="3" t="n">
        <v>40.7</v>
      </c>
      <c r="O479" s="3" t="n">
        <v>-35.2</v>
      </c>
      <c r="P479" s="3" t="n">
        <v>-72.217</v>
      </c>
      <c r="Q479" s="3" t="s">
        <v>459</v>
      </c>
      <c r="R479" s="2" t="s">
        <v>37</v>
      </c>
      <c r="S479" s="2" t="s">
        <v>377</v>
      </c>
      <c r="T479" s="4" t="n">
        <f aca="false">DATE(VALUE(MID(C479,7,4)),VALUE(MID(C479,4,2)),VALUE(MID(C479,1,2)))+TIME(VALUE(MID(C479,12,2)),VALUE(MID(C479,15,2)),0)</f>
        <v>40993.9423611111</v>
      </c>
      <c r="U479" s="2" t="str">
        <f aca="false">IF(AND(ISNUMBER(VALUE(MID(A479,7,1))),ISNUMBER(SEARCH("km",A479)),ISNUMBER(SEARCH("of",A479))),"Distance-location","Named-region")</f>
        <v>Named-region</v>
      </c>
      <c r="V479" s="2" t="str">
        <f aca="false">LOWER(M479)</f>
        <v>mww</v>
      </c>
      <c r="W479" s="5" t="str">
        <f aca="false">IF(COUNTIFS($A$2:$A$1001,A479,$C$2:$C$1001,C479)&gt;1,"Duplicate","Unique")</f>
        <v>Unique</v>
      </c>
    </row>
    <row r="480" customFormat="false" ht="15" hidden="false" customHeight="false" outlineLevel="0" collapsed="false">
      <c r="A480" s="2" t="s">
        <v>1300</v>
      </c>
      <c r="B480" s="3" t="n">
        <v>6.6</v>
      </c>
      <c r="C480" s="2" t="s">
        <v>1301</v>
      </c>
      <c r="D480" s="2" t="n">
        <v>6</v>
      </c>
      <c r="E480" s="2" t="n">
        <v>6</v>
      </c>
      <c r="F480" s="2"/>
      <c r="G480" s="2" t="n">
        <v>0</v>
      </c>
      <c r="H480" s="2" t="n">
        <v>709</v>
      </c>
      <c r="I480" s="2" t="s">
        <v>26</v>
      </c>
      <c r="J480" s="2" t="n">
        <v>640</v>
      </c>
      <c r="K480" s="2" t="n">
        <v>0</v>
      </c>
      <c r="L480" s="2" t="n">
        <v>10.1</v>
      </c>
      <c r="M480" s="2" t="s">
        <v>27</v>
      </c>
      <c r="N480" s="3" t="n">
        <v>118</v>
      </c>
      <c r="O480" s="3" t="n">
        <v>-6.242</v>
      </c>
      <c r="P480" s="3" t="n">
        <v>145.955</v>
      </c>
      <c r="Q480" s="3" t="s">
        <v>184</v>
      </c>
      <c r="R480" s="2"/>
      <c r="S480" s="2" t="s">
        <v>89</v>
      </c>
      <c r="T480" s="4" t="n">
        <f aca="false">DATE(VALUE(MID(C480,7,4)),VALUE(MID(C480,4,2)),VALUE(MID(C480,1,2)))+TIME(VALUE(MID(C480,12,2)),VALUE(MID(C480,15,2)),0)</f>
        <v>40989.9270833333</v>
      </c>
      <c r="U480" s="2" t="str">
        <f aca="false">IF(AND(ISNUMBER(VALUE(MID(A480,7,1))),ISNUMBER(SEARCH("km",A480)),ISNUMBER(SEARCH("of",A480))),"Distance-location","Named-region")</f>
        <v>Named-region</v>
      </c>
      <c r="V480" s="2" t="str">
        <f aca="false">LOWER(M480)</f>
        <v>mww</v>
      </c>
      <c r="W480" s="5" t="str">
        <f aca="false">IF(COUNTIFS($A$2:$A$1001,A480,$C$2:$C$1001,C480)&gt;1,"Duplicate","Unique")</f>
        <v>Unique</v>
      </c>
    </row>
    <row r="481" customFormat="false" ht="15" hidden="false" customHeight="false" outlineLevel="0" collapsed="false">
      <c r="A481" s="2" t="s">
        <v>1302</v>
      </c>
      <c r="B481" s="3" t="n">
        <v>7.4</v>
      </c>
      <c r="C481" s="2" t="s">
        <v>1303</v>
      </c>
      <c r="D481" s="2" t="n">
        <v>9</v>
      </c>
      <c r="E481" s="2" t="n">
        <v>8</v>
      </c>
      <c r="F481" s="2"/>
      <c r="G481" s="2" t="n">
        <v>0</v>
      </c>
      <c r="H481" s="2" t="n">
        <v>1752</v>
      </c>
      <c r="I481" s="2" t="s">
        <v>26</v>
      </c>
      <c r="J481" s="2" t="n">
        <v>672</v>
      </c>
      <c r="K481" s="2" t="n">
        <v>0</v>
      </c>
      <c r="L481" s="2" t="n">
        <v>37.9</v>
      </c>
      <c r="M481" s="2" t="s">
        <v>27</v>
      </c>
      <c r="N481" s="3" t="n">
        <v>20</v>
      </c>
      <c r="O481" s="3" t="n">
        <v>16.493</v>
      </c>
      <c r="P481" s="3" t="n">
        <v>-98.231</v>
      </c>
      <c r="Q481" s="3" t="s">
        <v>1304</v>
      </c>
      <c r="R481" s="2" t="s">
        <v>168</v>
      </c>
      <c r="S481" s="2" t="s">
        <v>169</v>
      </c>
      <c r="T481" s="4" t="n">
        <f aca="false">DATE(VALUE(MID(C481,7,4)),VALUE(MID(C481,4,2)),VALUE(MID(C481,1,2)))+TIME(VALUE(MID(C481,12,2)),VALUE(MID(C481,15,2)),0)</f>
        <v>40988.7513888889</v>
      </c>
      <c r="U481" s="2" t="str">
        <f aca="false">IF(AND(ISNUMBER(VALUE(MID(A481,7,1))),ISNUMBER(SEARCH("km",A481)),ISNUMBER(SEARCH("of",A481))),"Distance-location","Named-region")</f>
        <v>Named-region</v>
      </c>
      <c r="V481" s="2" t="str">
        <f aca="false">LOWER(M481)</f>
        <v>mww</v>
      </c>
      <c r="W481" s="5" t="str">
        <f aca="false">IF(COUNTIFS($A$2:$A$1001,A481,$C$2:$C$1001,C481)&gt;1,"Duplicate","Unique")</f>
        <v>Unique</v>
      </c>
    </row>
    <row r="482" customFormat="false" ht="15" hidden="false" customHeight="false" outlineLevel="0" collapsed="false">
      <c r="A482" s="2" t="s">
        <v>1305</v>
      </c>
      <c r="B482" s="3" t="n">
        <v>6.7</v>
      </c>
      <c r="C482" s="2" t="s">
        <v>1306</v>
      </c>
      <c r="D482" s="2" t="n">
        <v>7</v>
      </c>
      <c r="E482" s="2" t="n">
        <v>7</v>
      </c>
      <c r="F482" s="2"/>
      <c r="G482" s="2" t="n">
        <v>0</v>
      </c>
      <c r="H482" s="2" t="n">
        <v>833</v>
      </c>
      <c r="I482" s="2" t="s">
        <v>26</v>
      </c>
      <c r="J482" s="2" t="n">
        <v>596</v>
      </c>
      <c r="K482" s="2" t="n">
        <v>0</v>
      </c>
      <c r="L482" s="2" t="n">
        <v>13.4</v>
      </c>
      <c r="M482" s="2" t="s">
        <v>27</v>
      </c>
      <c r="N482" s="3" t="n">
        <v>12</v>
      </c>
      <c r="O482" s="3" t="n">
        <v>51.708</v>
      </c>
      <c r="P482" s="3" t="n">
        <v>95.991</v>
      </c>
      <c r="Q482" s="3" t="s">
        <v>1307</v>
      </c>
      <c r="R482" s="2" t="s">
        <v>84</v>
      </c>
      <c r="S482" s="2" t="s">
        <v>432</v>
      </c>
      <c r="T482" s="4" t="n">
        <f aca="false">DATE(VALUE(MID(C482,7,4)),VALUE(MID(C482,4,2)),VALUE(MID(C482,1,2)))+TIME(VALUE(MID(C482,12,2)),VALUE(MID(C482,15,2)),0)</f>
        <v>40965.2618055556</v>
      </c>
      <c r="U482" s="2" t="str">
        <f aca="false">IF(AND(ISNUMBER(VALUE(MID(A482,7,1))),ISNUMBER(SEARCH("km",A482)),ISNUMBER(SEARCH("of",A482))),"Distance-location","Named-region")</f>
        <v>Named-region</v>
      </c>
      <c r="V482" s="2" t="str">
        <f aca="false">LOWER(M482)</f>
        <v>mww</v>
      </c>
      <c r="W482" s="5" t="str">
        <f aca="false">IF(COUNTIFS($A$2:$A$1001,A482,$C$2:$C$1001,C482)&gt;1,"Duplicate","Unique")</f>
        <v>Unique</v>
      </c>
    </row>
    <row r="483" customFormat="false" ht="15" hidden="false" customHeight="false" outlineLevel="0" collapsed="false">
      <c r="A483" s="2" t="s">
        <v>1308</v>
      </c>
      <c r="B483" s="3" t="n">
        <v>6.7</v>
      </c>
      <c r="C483" s="2" t="s">
        <v>1309</v>
      </c>
      <c r="D483" s="2" t="n">
        <v>9</v>
      </c>
      <c r="E483" s="2" t="n">
        <v>7</v>
      </c>
      <c r="F483" s="2"/>
      <c r="G483" s="2" t="n">
        <v>0</v>
      </c>
      <c r="H483" s="2" t="n">
        <v>1551</v>
      </c>
      <c r="I483" s="2" t="s">
        <v>26</v>
      </c>
      <c r="J483" s="2" t="n">
        <v>572</v>
      </c>
      <c r="K483" s="2" t="n">
        <v>0</v>
      </c>
      <c r="L483" s="2" t="n">
        <v>11.1</v>
      </c>
      <c r="M483" s="2" t="s">
        <v>27</v>
      </c>
      <c r="N483" s="3" t="n">
        <v>11</v>
      </c>
      <c r="O483" s="3" t="n">
        <v>9.999</v>
      </c>
      <c r="P483" s="3" t="n">
        <v>123.206</v>
      </c>
      <c r="Q483" s="3" t="s">
        <v>1310</v>
      </c>
      <c r="R483" s="2"/>
      <c r="S483" s="2" t="s">
        <v>195</v>
      </c>
      <c r="T483" s="4" t="n">
        <f aca="false">DATE(VALUE(MID(C483,7,4)),VALUE(MID(C483,4,2)),VALUE(MID(C483,1,2)))+TIME(VALUE(MID(C483,12,2)),VALUE(MID(C483,15,2)),0)</f>
        <v>40945.1590277778</v>
      </c>
      <c r="U483" s="2" t="str">
        <f aca="false">IF(AND(ISNUMBER(VALUE(MID(A483,7,1))),ISNUMBER(SEARCH("km",A483)),ISNUMBER(SEARCH("of",A483))),"Distance-location","Named-region")</f>
        <v>Named-region</v>
      </c>
      <c r="V483" s="2" t="str">
        <f aca="false">LOWER(M483)</f>
        <v>mww</v>
      </c>
      <c r="W483" s="5" t="str">
        <f aca="false">IF(COUNTIFS($A$2:$A$1001,A483,$C$2:$C$1001,C483)&gt;1,"Duplicate","Unique")</f>
        <v>Unique</v>
      </c>
    </row>
    <row r="484" customFormat="false" ht="15" hidden="false" customHeight="false" outlineLevel="0" collapsed="false">
      <c r="A484" s="2" t="s">
        <v>1311</v>
      </c>
      <c r="B484" s="3" t="n">
        <v>7.1</v>
      </c>
      <c r="C484" s="2" t="s">
        <v>1312</v>
      </c>
      <c r="D484" s="2" t="n">
        <v>5</v>
      </c>
      <c r="E484" s="2" t="n">
        <v>5</v>
      </c>
      <c r="F484" s="2"/>
      <c r="G484" s="2" t="n">
        <v>0</v>
      </c>
      <c r="H484" s="2" t="n">
        <v>793</v>
      </c>
      <c r="I484" s="2" t="s">
        <v>26</v>
      </c>
      <c r="J484" s="2" t="n">
        <v>573</v>
      </c>
      <c r="K484" s="2" t="n">
        <v>0</v>
      </c>
      <c r="L484" s="2" t="n">
        <v>12</v>
      </c>
      <c r="M484" s="2" t="s">
        <v>27</v>
      </c>
      <c r="N484" s="3" t="n">
        <v>23</v>
      </c>
      <c r="O484" s="3" t="n">
        <v>-17.827</v>
      </c>
      <c r="P484" s="3" t="n">
        <v>167.133</v>
      </c>
      <c r="Q484" s="3" t="s">
        <v>993</v>
      </c>
      <c r="R484" s="2"/>
      <c r="S484" s="2"/>
      <c r="T484" s="4" t="n">
        <f aca="false">DATE(VALUE(MID(C484,7,4)),VALUE(MID(C484,4,2)),VALUE(MID(C484,1,2)))+TIME(VALUE(MID(C484,12,2)),VALUE(MID(C484,15,2)),0)</f>
        <v>40941.5652777778</v>
      </c>
      <c r="U484" s="2" t="str">
        <f aca="false">IF(AND(ISNUMBER(VALUE(MID(A484,7,1))),ISNUMBER(SEARCH("km",A484)),ISNUMBER(SEARCH("of",A484))),"Distance-location","Named-region")</f>
        <v>Named-region</v>
      </c>
      <c r="V484" s="2" t="str">
        <f aca="false">LOWER(M484)</f>
        <v>mww</v>
      </c>
      <c r="W484" s="5" t="str">
        <f aca="false">IF(COUNTIFS($A$2:$A$1001,A484,$C$2:$C$1001,C484)&gt;1,"Duplicate","Unique")</f>
        <v>Unique</v>
      </c>
    </row>
    <row r="485" customFormat="false" ht="28.35" hidden="false" customHeight="false" outlineLevel="0" collapsed="false">
      <c r="A485" s="2" t="s">
        <v>1313</v>
      </c>
      <c r="B485" s="3" t="n">
        <v>7.2</v>
      </c>
      <c r="C485" s="2" t="s">
        <v>1314</v>
      </c>
      <c r="D485" s="2" t="n">
        <v>4</v>
      </c>
      <c r="E485" s="2" t="n">
        <v>4</v>
      </c>
      <c r="F485" s="2"/>
      <c r="G485" s="2" t="n">
        <v>0</v>
      </c>
      <c r="H485" s="2" t="n">
        <v>838</v>
      </c>
      <c r="I485" s="2" t="s">
        <v>26</v>
      </c>
      <c r="J485" s="2" t="n">
        <v>443</v>
      </c>
      <c r="K485" s="2" t="n">
        <v>0</v>
      </c>
      <c r="L485" s="2" t="n">
        <v>17</v>
      </c>
      <c r="M485" s="2" t="s">
        <v>27</v>
      </c>
      <c r="N485" s="3" t="n">
        <v>19</v>
      </c>
      <c r="O485" s="3" t="n">
        <v>2.433</v>
      </c>
      <c r="P485" s="3" t="n">
        <v>93.21</v>
      </c>
      <c r="Q485" s="3" t="s">
        <v>1294</v>
      </c>
      <c r="R485" s="2"/>
      <c r="S485" s="2"/>
      <c r="T485" s="4" t="n">
        <f aca="false">DATE(VALUE(MID(C485,7,4)),VALUE(MID(C485,4,2)),VALUE(MID(C485,1,2)))+TIME(VALUE(MID(C485,12,2)),VALUE(MID(C485,15,2)),0)</f>
        <v>40918.775</v>
      </c>
      <c r="U485" s="2" t="str">
        <f aca="false">IF(AND(ISNUMBER(VALUE(MID(A485,7,1))),ISNUMBER(SEARCH("km",A485)),ISNUMBER(SEARCH("of",A485))),"Distance-location","Named-region")</f>
        <v>Named-region</v>
      </c>
      <c r="V485" s="2" t="str">
        <f aca="false">LOWER(M485)</f>
        <v>mww</v>
      </c>
      <c r="W485" s="5" t="str">
        <f aca="false">IF(COUNTIFS($A$2:$A$1001,A485,$C$2:$C$1001,C485)&gt;1,"Duplicate","Unique")</f>
        <v>Unique</v>
      </c>
    </row>
    <row r="486" customFormat="false" ht="15" hidden="false" customHeight="false" outlineLevel="0" collapsed="false">
      <c r="A486" s="2" t="s">
        <v>1315</v>
      </c>
      <c r="B486" s="3" t="n">
        <v>6.6</v>
      </c>
      <c r="C486" s="2" t="s">
        <v>1316</v>
      </c>
      <c r="D486" s="2" t="n">
        <v>0</v>
      </c>
      <c r="E486" s="2" t="n">
        <v>7</v>
      </c>
      <c r="F486" s="2"/>
      <c r="G486" s="2" t="n">
        <v>0</v>
      </c>
      <c r="H486" s="2" t="n">
        <v>670</v>
      </c>
      <c r="I486" s="2" t="s">
        <v>26</v>
      </c>
      <c r="J486" s="2" t="n">
        <v>545</v>
      </c>
      <c r="K486" s="2" t="n">
        <v>0</v>
      </c>
      <c r="L486" s="2" t="n">
        <v>17.6</v>
      </c>
      <c r="M486" s="2" t="s">
        <v>27</v>
      </c>
      <c r="N486" s="3" t="n">
        <v>15</v>
      </c>
      <c r="O486" s="3" t="n">
        <v>51.842</v>
      </c>
      <c r="P486" s="3" t="n">
        <v>95.911</v>
      </c>
      <c r="Q486" s="3" t="s">
        <v>1307</v>
      </c>
      <c r="R486" s="2" t="s">
        <v>84</v>
      </c>
      <c r="S486" s="2" t="s">
        <v>432</v>
      </c>
      <c r="T486" s="4" t="n">
        <f aca="false">DATE(VALUE(MID(C486,7,4)),VALUE(MID(C486,4,2)),VALUE(MID(C486,1,2)))+TIME(VALUE(MID(C486,12,2)),VALUE(MID(C486,15,2)),0)</f>
        <v>40904.6395833333</v>
      </c>
      <c r="U486" s="2" t="str">
        <f aca="false">IF(AND(ISNUMBER(VALUE(MID(A486,7,1))),ISNUMBER(SEARCH("km",A486)),ISNUMBER(SEARCH("of",A486))),"Distance-location","Named-region")</f>
        <v>Named-region</v>
      </c>
      <c r="V486" s="2" t="str">
        <f aca="false">LOWER(M486)</f>
        <v>mww</v>
      </c>
      <c r="W486" s="5" t="str">
        <f aca="false">IF(COUNTIFS($A$2:$A$1001,A486,$C$2:$C$1001,C486)&gt;1,"Duplicate","Unique")</f>
        <v>Unique</v>
      </c>
    </row>
    <row r="487" customFormat="false" ht="15" hidden="false" customHeight="false" outlineLevel="0" collapsed="false">
      <c r="A487" s="2" t="s">
        <v>1317</v>
      </c>
      <c r="B487" s="3" t="n">
        <v>7.1</v>
      </c>
      <c r="C487" s="2" t="s">
        <v>1318</v>
      </c>
      <c r="D487" s="2" t="n">
        <v>6</v>
      </c>
      <c r="E487" s="2" t="n">
        <v>6</v>
      </c>
      <c r="F487" s="2"/>
      <c r="G487" s="2" t="n">
        <v>0</v>
      </c>
      <c r="H487" s="2" t="n">
        <v>834</v>
      </c>
      <c r="I487" s="2" t="s">
        <v>26</v>
      </c>
      <c r="J487" s="2" t="n">
        <v>485</v>
      </c>
      <c r="K487" s="2" t="n">
        <v>0</v>
      </c>
      <c r="L487" s="2" t="n">
        <v>10.6</v>
      </c>
      <c r="M487" s="2" t="s">
        <v>27</v>
      </c>
      <c r="N487" s="3" t="n">
        <v>135</v>
      </c>
      <c r="O487" s="3" t="n">
        <v>-7.551</v>
      </c>
      <c r="P487" s="3" t="n">
        <v>146.809</v>
      </c>
      <c r="Q487" s="3" t="s">
        <v>1319</v>
      </c>
      <c r="R487" s="2"/>
      <c r="S487" s="2" t="s">
        <v>89</v>
      </c>
      <c r="T487" s="4" t="n">
        <f aca="false">DATE(VALUE(MID(C487,7,4)),VALUE(MID(C487,4,2)),VALUE(MID(C487,1,2)))+TIME(VALUE(MID(C487,12,2)),VALUE(MID(C487,15,2)),0)</f>
        <v>40891.2111111111</v>
      </c>
      <c r="U487" s="2" t="str">
        <f aca="false">IF(AND(ISNUMBER(VALUE(MID(A487,7,1))),ISNUMBER(SEARCH("km",A487)),ISNUMBER(SEARCH("of",A487))),"Distance-location","Named-region")</f>
        <v>Named-region</v>
      </c>
      <c r="V487" s="2" t="str">
        <f aca="false">LOWER(M487)</f>
        <v>mww</v>
      </c>
      <c r="W487" s="5" t="str">
        <f aca="false">IF(COUNTIFS($A$2:$A$1001,A487,$C$2:$C$1001,C487)&gt;1,"Duplicate","Unique")</f>
        <v>Unique</v>
      </c>
    </row>
    <row r="488" customFormat="false" ht="15" hidden="false" customHeight="false" outlineLevel="0" collapsed="false">
      <c r="A488" s="2" t="s">
        <v>1320</v>
      </c>
      <c r="B488" s="3" t="n">
        <v>6.5</v>
      </c>
      <c r="C488" s="2" t="s">
        <v>1321</v>
      </c>
      <c r="D488" s="2" t="n">
        <v>8</v>
      </c>
      <c r="E488" s="2" t="n">
        <v>7</v>
      </c>
      <c r="F488" s="2"/>
      <c r="G488" s="2" t="n">
        <v>0</v>
      </c>
      <c r="H488" s="2" t="n">
        <v>1400</v>
      </c>
      <c r="I488" s="2" t="s">
        <v>26</v>
      </c>
      <c r="J488" s="2" t="n">
        <v>578</v>
      </c>
      <c r="K488" s="2" t="n">
        <v>0</v>
      </c>
      <c r="L488" s="2" t="n">
        <v>38.6</v>
      </c>
      <c r="M488" s="2" t="s">
        <v>27</v>
      </c>
      <c r="N488" s="3" t="n">
        <v>59</v>
      </c>
      <c r="O488" s="3" t="n">
        <v>17.986</v>
      </c>
      <c r="P488" s="3" t="n">
        <v>-99.789</v>
      </c>
      <c r="Q488" s="3" t="s">
        <v>1322</v>
      </c>
      <c r="R488" s="2" t="s">
        <v>168</v>
      </c>
      <c r="S488" s="2" t="s">
        <v>169</v>
      </c>
      <c r="T488" s="4" t="n">
        <f aca="false">DATE(VALUE(MID(C488,7,4)),VALUE(MID(C488,4,2)),VALUE(MID(C488,1,2)))+TIME(VALUE(MID(C488,12,2)),VALUE(MID(C488,15,2)),0)</f>
        <v>40888.0743055556</v>
      </c>
      <c r="U488" s="2" t="str">
        <f aca="false">IF(AND(ISNUMBER(VALUE(MID(A488,7,1))),ISNUMBER(SEARCH("km",A488)),ISNUMBER(SEARCH("of",A488))),"Distance-location","Named-region")</f>
        <v>Named-region</v>
      </c>
      <c r="V488" s="2" t="str">
        <f aca="false">LOWER(M488)</f>
        <v>mww</v>
      </c>
      <c r="W488" s="5" t="str">
        <f aca="false">IF(COUNTIFS($A$2:$A$1001,A488,$C$2:$C$1001,C488)&gt;1,"Duplicate","Unique")</f>
        <v>Unique</v>
      </c>
    </row>
    <row r="489" customFormat="false" ht="15" hidden="false" customHeight="false" outlineLevel="0" collapsed="false">
      <c r="A489" s="2" t="s">
        <v>1323</v>
      </c>
      <c r="B489" s="3" t="n">
        <v>6.9</v>
      </c>
      <c r="C489" s="2" t="s">
        <v>1324</v>
      </c>
      <c r="D489" s="2" t="n">
        <v>6</v>
      </c>
      <c r="E489" s="2" t="n">
        <v>7</v>
      </c>
      <c r="F489" s="2"/>
      <c r="G489" s="2" t="n">
        <v>0</v>
      </c>
      <c r="H489" s="2" t="n">
        <v>847</v>
      </c>
      <c r="I489" s="2" t="s">
        <v>26</v>
      </c>
      <c r="J489" s="2" t="n">
        <v>474</v>
      </c>
      <c r="K489" s="2" t="n">
        <v>0</v>
      </c>
      <c r="L489" s="2" t="n">
        <v>46.5</v>
      </c>
      <c r="M489" s="2" t="s">
        <v>27</v>
      </c>
      <c r="N489" s="3" t="n">
        <v>24</v>
      </c>
      <c r="O489" s="3" t="n">
        <v>-14.438</v>
      </c>
      <c r="P489" s="3" t="n">
        <v>-75.966</v>
      </c>
      <c r="Q489" s="3" t="s">
        <v>1325</v>
      </c>
      <c r="R489" s="2" t="s">
        <v>37</v>
      </c>
      <c r="S489" s="2" t="s">
        <v>203</v>
      </c>
      <c r="T489" s="4" t="n">
        <f aca="false">DATE(VALUE(MID(C489,7,4)),VALUE(MID(C489,4,2)),VALUE(MID(C489,1,2)))+TIME(VALUE(MID(C489,12,2)),VALUE(MID(C489,15,2)),0)</f>
        <v>40844.7875</v>
      </c>
      <c r="U489" s="2" t="str">
        <f aca="false">IF(AND(ISNUMBER(VALUE(MID(A489,7,1))),ISNUMBER(SEARCH("km",A489)),ISNUMBER(SEARCH("of",A489))),"Distance-location","Named-region")</f>
        <v>Named-region</v>
      </c>
      <c r="V489" s="2" t="str">
        <f aca="false">LOWER(M489)</f>
        <v>mww</v>
      </c>
      <c r="W489" s="5" t="str">
        <f aca="false">IF(COUNTIFS($A$2:$A$1001,A489,$C$2:$C$1001,C489)&gt;1,"Duplicate","Unique")</f>
        <v>Unique</v>
      </c>
    </row>
    <row r="490" customFormat="false" ht="15" hidden="false" customHeight="false" outlineLevel="0" collapsed="false">
      <c r="A490" s="2" t="s">
        <v>1326</v>
      </c>
      <c r="B490" s="3" t="n">
        <v>7.1</v>
      </c>
      <c r="C490" s="2" t="s">
        <v>1327</v>
      </c>
      <c r="D490" s="2" t="n">
        <v>9</v>
      </c>
      <c r="E490" s="2" t="n">
        <v>9</v>
      </c>
      <c r="F490" s="2"/>
      <c r="G490" s="2" t="n">
        <v>0</v>
      </c>
      <c r="H490" s="2" t="n">
        <v>1096</v>
      </c>
      <c r="I490" s="2" t="s">
        <v>26</v>
      </c>
      <c r="J490" s="2" t="n">
        <v>693</v>
      </c>
      <c r="K490" s="2" t="n">
        <v>0</v>
      </c>
      <c r="L490" s="2" t="n">
        <v>19.7</v>
      </c>
      <c r="M490" s="2" t="s">
        <v>27</v>
      </c>
      <c r="N490" s="3" t="n">
        <v>18</v>
      </c>
      <c r="O490" s="3" t="n">
        <v>38.721</v>
      </c>
      <c r="P490" s="3" t="n">
        <v>43.508</v>
      </c>
      <c r="Q490" s="3" t="s">
        <v>1328</v>
      </c>
      <c r="R490" s="2" t="s">
        <v>84</v>
      </c>
      <c r="S490" s="2" t="s">
        <v>439</v>
      </c>
      <c r="T490" s="4" t="n">
        <f aca="false">DATE(VALUE(MID(C490,7,4)),VALUE(MID(C490,4,2)),VALUE(MID(C490,1,2)))+TIME(VALUE(MID(C490,12,2)),VALUE(MID(C490,15,2)),0)</f>
        <v>40839.4451388889</v>
      </c>
      <c r="U490" s="2" t="str">
        <f aca="false">IF(AND(ISNUMBER(VALUE(MID(A490,7,1))),ISNUMBER(SEARCH("km",A490)),ISNUMBER(SEARCH("of",A490))),"Distance-location","Named-region")</f>
        <v>Named-region</v>
      </c>
      <c r="V490" s="2" t="str">
        <f aca="false">LOWER(M490)</f>
        <v>mww</v>
      </c>
      <c r="W490" s="5" t="str">
        <f aca="false">IF(COUNTIFS($A$2:$A$1001,A490,$C$2:$C$1001,C490)&gt;1,"Duplicate","Unique")</f>
        <v>Unique</v>
      </c>
    </row>
    <row r="491" customFormat="false" ht="15" hidden="false" customHeight="false" outlineLevel="0" collapsed="false">
      <c r="A491" s="2" t="s">
        <v>1329</v>
      </c>
      <c r="B491" s="3" t="n">
        <v>6.5</v>
      </c>
      <c r="C491" s="2" t="s">
        <v>1330</v>
      </c>
      <c r="D491" s="2" t="n">
        <v>3</v>
      </c>
      <c r="E491" s="2" t="n">
        <v>6</v>
      </c>
      <c r="F491" s="2"/>
      <c r="G491" s="2" t="n">
        <v>0</v>
      </c>
      <c r="H491" s="2" t="n">
        <v>655</v>
      </c>
      <c r="I491" s="2" t="s">
        <v>26</v>
      </c>
      <c r="J491" s="2" t="n">
        <v>423</v>
      </c>
      <c r="K491" s="2" t="n">
        <v>0</v>
      </c>
      <c r="L491" s="2" t="n">
        <v>12.6</v>
      </c>
      <c r="M491" s="2" t="s">
        <v>27</v>
      </c>
      <c r="N491" s="3" t="n">
        <v>37</v>
      </c>
      <c r="O491" s="3" t="n">
        <v>-6.57</v>
      </c>
      <c r="P491" s="3" t="n">
        <v>147.881</v>
      </c>
      <c r="Q491" s="3" t="s">
        <v>1015</v>
      </c>
      <c r="R491" s="2"/>
      <c r="S491" s="2" t="s">
        <v>89</v>
      </c>
      <c r="T491" s="4" t="n">
        <f aca="false">DATE(VALUE(MID(C491,7,4)),VALUE(MID(C491,4,2)),VALUE(MID(C491,1,2)))+TIME(VALUE(MID(C491,12,2)),VALUE(MID(C491,15,2)),0)</f>
        <v>40830.1493055556</v>
      </c>
      <c r="U491" s="2" t="str">
        <f aca="false">IF(AND(ISNUMBER(VALUE(MID(A491,7,1))),ISNUMBER(SEARCH("km",A491)),ISNUMBER(SEARCH("of",A491))),"Distance-location","Named-region")</f>
        <v>Named-region</v>
      </c>
      <c r="V491" s="2" t="str">
        <f aca="false">LOWER(M491)</f>
        <v>mww</v>
      </c>
      <c r="W491" s="5" t="str">
        <f aca="false">IF(COUNTIFS($A$2:$A$1001,A491,$C$2:$C$1001,C491)&gt;1,"Duplicate","Unique")</f>
        <v>Unique</v>
      </c>
    </row>
    <row r="492" customFormat="false" ht="15" hidden="false" customHeight="false" outlineLevel="0" collapsed="false">
      <c r="A492" s="2" t="s">
        <v>1331</v>
      </c>
      <c r="B492" s="3" t="n">
        <v>6.9</v>
      </c>
      <c r="C492" s="2" t="s">
        <v>1332</v>
      </c>
      <c r="D492" s="2" t="n">
        <v>8</v>
      </c>
      <c r="E492" s="2" t="n">
        <v>8</v>
      </c>
      <c r="F492" s="2"/>
      <c r="G492" s="2" t="n">
        <v>0</v>
      </c>
      <c r="H492" s="2" t="n">
        <v>1562</v>
      </c>
      <c r="I492" s="2" t="s">
        <v>26</v>
      </c>
      <c r="J492" s="2" t="n">
        <v>383</v>
      </c>
      <c r="K492" s="2" t="n">
        <v>0</v>
      </c>
      <c r="L492" s="2" t="n">
        <v>13</v>
      </c>
      <c r="M492" s="2" t="s">
        <v>27</v>
      </c>
      <c r="N492" s="3" t="n">
        <v>50</v>
      </c>
      <c r="O492" s="3" t="n">
        <v>27.73</v>
      </c>
      <c r="P492" s="3" t="n">
        <v>88.155</v>
      </c>
      <c r="Q492" s="3" t="s">
        <v>1333</v>
      </c>
      <c r="R492" s="2" t="s">
        <v>84</v>
      </c>
      <c r="S492" s="2" t="s">
        <v>864</v>
      </c>
      <c r="T492" s="4" t="n">
        <f aca="false">DATE(VALUE(MID(C492,7,4)),VALUE(MID(C492,4,2)),VALUE(MID(C492,1,2)))+TIME(VALUE(MID(C492,12,2)),VALUE(MID(C492,15,2)),0)</f>
        <v>40804.5277777778</v>
      </c>
      <c r="U492" s="2" t="str">
        <f aca="false">IF(AND(ISNUMBER(VALUE(MID(A492,7,1))),ISNUMBER(SEARCH("km",A492)),ISNUMBER(SEARCH("of",A492))),"Distance-location","Named-region")</f>
        <v>Named-region</v>
      </c>
      <c r="V492" s="2" t="str">
        <f aca="false">LOWER(M492)</f>
        <v>mww</v>
      </c>
      <c r="W492" s="5" t="str">
        <f aca="false">IF(COUNTIFS($A$2:$A$1001,A492,$C$2:$C$1001,C492)&gt;1,"Duplicate","Unique")</f>
        <v>Unique</v>
      </c>
    </row>
    <row r="493" customFormat="false" ht="15" hidden="false" customHeight="false" outlineLevel="0" collapsed="false">
      <c r="A493" s="2" t="s">
        <v>1334</v>
      </c>
      <c r="B493" s="3" t="n">
        <v>6.7</v>
      </c>
      <c r="C493" s="2" t="s">
        <v>1335</v>
      </c>
      <c r="D493" s="2" t="n">
        <v>5</v>
      </c>
      <c r="E493" s="2" t="n">
        <v>5</v>
      </c>
      <c r="F493" s="2"/>
      <c r="G493" s="2" t="n">
        <v>0</v>
      </c>
      <c r="H493" s="2" t="n">
        <v>712</v>
      </c>
      <c r="I493" s="2" t="s">
        <v>26</v>
      </c>
      <c r="J493" s="2" t="n">
        <v>667</v>
      </c>
      <c r="K493" s="2" t="n">
        <v>0</v>
      </c>
      <c r="L493" s="2" t="n">
        <v>10.9</v>
      </c>
      <c r="M493" s="2" t="s">
        <v>131</v>
      </c>
      <c r="N493" s="3" t="n">
        <v>30</v>
      </c>
      <c r="O493" s="3" t="n">
        <v>40.273</v>
      </c>
      <c r="P493" s="3" t="n">
        <v>142.779</v>
      </c>
      <c r="Q493" s="3" t="s">
        <v>987</v>
      </c>
      <c r="R493" s="2"/>
      <c r="S493" s="2"/>
      <c r="T493" s="4" t="n">
        <f aca="false">DATE(VALUE(MID(C493,7,4)),VALUE(MID(C493,4,2)),VALUE(MID(C493,1,2)))+TIME(VALUE(MID(C493,12,2)),VALUE(MID(C493,15,2)),0)</f>
        <v>40802.8097222222</v>
      </c>
      <c r="U493" s="2" t="str">
        <f aca="false">IF(AND(ISNUMBER(VALUE(MID(A493,7,1))),ISNUMBER(SEARCH("km",A493)),ISNUMBER(SEARCH("of",A493))),"Distance-location","Named-region")</f>
        <v>Named-region</v>
      </c>
      <c r="V493" s="2" t="str">
        <f aca="false">LOWER(M493)</f>
        <v>mwc</v>
      </c>
      <c r="W493" s="5" t="str">
        <f aca="false">IF(COUNTIFS($A$2:$A$1001,A493,$C$2:$C$1001,C493)&gt;1,"Duplicate","Unique")</f>
        <v>Unique</v>
      </c>
    </row>
    <row r="494" customFormat="false" ht="15" hidden="false" customHeight="false" outlineLevel="0" collapsed="false">
      <c r="A494" s="2" t="s">
        <v>1336</v>
      </c>
      <c r="B494" s="3" t="n">
        <v>6.7</v>
      </c>
      <c r="C494" s="2" t="s">
        <v>1337</v>
      </c>
      <c r="D494" s="2" t="n">
        <v>5</v>
      </c>
      <c r="E494" s="2" t="n">
        <v>6</v>
      </c>
      <c r="F494" s="2"/>
      <c r="G494" s="2" t="n">
        <v>0</v>
      </c>
      <c r="H494" s="2" t="n">
        <v>915</v>
      </c>
      <c r="I494" s="2" t="s">
        <v>26</v>
      </c>
      <c r="J494" s="2" t="n">
        <v>447</v>
      </c>
      <c r="K494" s="2" t="n">
        <v>0</v>
      </c>
      <c r="L494" s="2" t="n">
        <v>15.3</v>
      </c>
      <c r="M494" s="2" t="s">
        <v>27</v>
      </c>
      <c r="N494" s="3" t="n">
        <v>91</v>
      </c>
      <c r="O494" s="3" t="n">
        <v>2.965</v>
      </c>
      <c r="P494" s="3" t="n">
        <v>97.893</v>
      </c>
      <c r="Q494" s="3" t="s">
        <v>1338</v>
      </c>
      <c r="R494" s="2"/>
      <c r="S494" s="2" t="s">
        <v>72</v>
      </c>
      <c r="T494" s="4" t="n">
        <f aca="false">DATE(VALUE(MID(C494,7,4)),VALUE(MID(C494,4,2)),VALUE(MID(C494,1,2)))+TIME(VALUE(MID(C494,12,2)),VALUE(MID(C494,15,2)),0)</f>
        <v>40791.7465277778</v>
      </c>
      <c r="U494" s="2" t="str">
        <f aca="false">IF(AND(ISNUMBER(VALUE(MID(A494,7,1))),ISNUMBER(SEARCH("km",A494)),ISNUMBER(SEARCH("of",A494))),"Distance-location","Named-region")</f>
        <v>Named-region</v>
      </c>
      <c r="V494" s="2" t="str">
        <f aca="false">LOWER(M494)</f>
        <v>mww</v>
      </c>
      <c r="W494" s="5" t="str">
        <f aca="false">IF(COUNTIFS($A$2:$A$1001,A494,$C$2:$C$1001,C494)&gt;1,"Duplicate","Unique")</f>
        <v>Unique</v>
      </c>
    </row>
    <row r="495" customFormat="false" ht="15" hidden="false" customHeight="false" outlineLevel="0" collapsed="false">
      <c r="A495" s="2" t="s">
        <v>1339</v>
      </c>
      <c r="B495" s="3" t="n">
        <v>7</v>
      </c>
      <c r="C495" s="2" t="s">
        <v>1340</v>
      </c>
      <c r="D495" s="2" t="n">
        <v>7</v>
      </c>
      <c r="E495" s="2" t="n">
        <v>5</v>
      </c>
      <c r="F495" s="2"/>
      <c r="G495" s="2" t="n">
        <v>0</v>
      </c>
      <c r="H495" s="2" t="n">
        <v>761</v>
      </c>
      <c r="I495" s="2" t="s">
        <v>26</v>
      </c>
      <c r="J495" s="2" t="n">
        <v>406</v>
      </c>
      <c r="K495" s="2" t="n">
        <v>0</v>
      </c>
      <c r="L495" s="2" t="n">
        <v>15.3</v>
      </c>
      <c r="M495" s="2" t="s">
        <v>27</v>
      </c>
      <c r="N495" s="3" t="n">
        <v>185.1</v>
      </c>
      <c r="O495" s="3" t="n">
        <v>-20.671</v>
      </c>
      <c r="P495" s="3" t="n">
        <v>169.716</v>
      </c>
      <c r="Q495" s="3" t="s">
        <v>181</v>
      </c>
      <c r="R495" s="2"/>
      <c r="S495" s="2"/>
      <c r="T495" s="4" t="n">
        <f aca="false">DATE(VALUE(MID(C495,7,4)),VALUE(MID(C495,4,2)),VALUE(MID(C495,1,2)))+TIME(VALUE(MID(C495,12,2)),VALUE(MID(C495,15,2)),0)</f>
        <v>40789.9548611111</v>
      </c>
      <c r="U495" s="2" t="str">
        <f aca="false">IF(AND(ISNUMBER(VALUE(MID(A495,7,1))),ISNUMBER(SEARCH("km",A495)),ISNUMBER(SEARCH("of",A495))),"Distance-location","Named-region")</f>
        <v>Named-region</v>
      </c>
      <c r="V495" s="2" t="str">
        <f aca="false">LOWER(M495)</f>
        <v>mww</v>
      </c>
      <c r="W495" s="5" t="str">
        <f aca="false">IF(COUNTIFS($A$2:$A$1001,A495,$C$2:$C$1001,C495)&gt;1,"Duplicate","Unique")</f>
        <v>Unique</v>
      </c>
    </row>
    <row r="496" customFormat="false" ht="15" hidden="false" customHeight="false" outlineLevel="0" collapsed="false">
      <c r="A496" s="2" t="s">
        <v>1341</v>
      </c>
      <c r="B496" s="3" t="n">
        <v>7</v>
      </c>
      <c r="C496" s="2" t="s">
        <v>1342</v>
      </c>
      <c r="D496" s="2" t="n">
        <v>6</v>
      </c>
      <c r="E496" s="2" t="n">
        <v>6</v>
      </c>
      <c r="F496" s="2"/>
      <c r="G496" s="2" t="n">
        <v>0</v>
      </c>
      <c r="H496" s="2" t="n">
        <v>913</v>
      </c>
      <c r="I496" s="2" t="s">
        <v>26</v>
      </c>
      <c r="J496" s="2" t="n">
        <v>471</v>
      </c>
      <c r="K496" s="2" t="n">
        <v>0</v>
      </c>
      <c r="L496" s="2" t="n">
        <v>26.9</v>
      </c>
      <c r="M496" s="2" t="s">
        <v>27</v>
      </c>
      <c r="N496" s="3" t="n">
        <v>147</v>
      </c>
      <c r="O496" s="3" t="n">
        <v>-7.641</v>
      </c>
      <c r="P496" s="3" t="n">
        <v>-74.525</v>
      </c>
      <c r="Q496" s="3" t="s">
        <v>1343</v>
      </c>
      <c r="R496" s="2" t="s">
        <v>37</v>
      </c>
      <c r="S496" s="2" t="s">
        <v>203</v>
      </c>
      <c r="T496" s="4" t="n">
        <f aca="false">DATE(VALUE(MID(C496,7,4)),VALUE(MID(C496,4,2)),VALUE(MID(C496,1,2)))+TIME(VALUE(MID(C496,12,2)),VALUE(MID(C496,15,2)),0)</f>
        <v>40779.7402777778</v>
      </c>
      <c r="U496" s="2" t="str">
        <f aca="false">IF(AND(ISNUMBER(VALUE(MID(A496,7,1))),ISNUMBER(SEARCH("km",A496)),ISNUMBER(SEARCH("of",A496))),"Distance-location","Named-region")</f>
        <v>Named-region</v>
      </c>
      <c r="V496" s="2" t="str">
        <f aca="false">LOWER(M496)</f>
        <v>mww</v>
      </c>
      <c r="W496" s="5" t="str">
        <f aca="false">IF(COUNTIFS($A$2:$A$1001,A496,$C$2:$C$1001,C496)&gt;1,"Duplicate","Unique")</f>
        <v>Unique</v>
      </c>
    </row>
    <row r="497" customFormat="false" ht="15" hidden="false" customHeight="false" outlineLevel="0" collapsed="false">
      <c r="A497" s="2" t="s">
        <v>1344</v>
      </c>
      <c r="B497" s="3" t="n">
        <v>7.1</v>
      </c>
      <c r="C497" s="2" t="s">
        <v>1345</v>
      </c>
      <c r="D497" s="2" t="n">
        <v>5</v>
      </c>
      <c r="E497" s="2" t="n">
        <v>6</v>
      </c>
      <c r="F497" s="2"/>
      <c r="G497" s="2" t="n">
        <v>0</v>
      </c>
      <c r="H497" s="2" t="n">
        <v>787</v>
      </c>
      <c r="I497" s="2" t="s">
        <v>26</v>
      </c>
      <c r="J497" s="2" t="n">
        <v>564</v>
      </c>
      <c r="K497" s="2" t="n">
        <v>0</v>
      </c>
      <c r="L497" s="2" t="n">
        <v>12.3</v>
      </c>
      <c r="M497" s="2" t="s">
        <v>27</v>
      </c>
      <c r="N497" s="3" t="n">
        <v>28</v>
      </c>
      <c r="O497" s="3" t="n">
        <v>-18.311</v>
      </c>
      <c r="P497" s="3" t="n">
        <v>168.218</v>
      </c>
      <c r="Q497" s="3" t="s">
        <v>993</v>
      </c>
      <c r="R497" s="2"/>
      <c r="S497" s="2"/>
      <c r="T497" s="4" t="n">
        <f aca="false">DATE(VALUE(MID(C497,7,4)),VALUE(MID(C497,4,2)),VALUE(MID(C497,1,2)))+TIME(VALUE(MID(C497,12,2)),VALUE(MID(C497,15,2)),0)</f>
        <v>40775.7631944444</v>
      </c>
      <c r="U497" s="2" t="str">
        <f aca="false">IF(AND(ISNUMBER(VALUE(MID(A497,7,1))),ISNUMBER(SEARCH("km",A497)),ISNUMBER(SEARCH("of",A497))),"Distance-location","Named-region")</f>
        <v>Named-region</v>
      </c>
      <c r="V497" s="2" t="str">
        <f aca="false">LOWER(M497)</f>
        <v>mww</v>
      </c>
      <c r="W497" s="5" t="str">
        <f aca="false">IF(COUNTIFS($A$2:$A$1001,A497,$C$2:$C$1001,C497)&gt;1,"Duplicate","Unique")</f>
        <v>Unique</v>
      </c>
    </row>
    <row r="498" customFormat="false" ht="15" hidden="false" customHeight="false" outlineLevel="0" collapsed="false">
      <c r="A498" s="2" t="s">
        <v>1346</v>
      </c>
      <c r="B498" s="3" t="n">
        <v>6.5</v>
      </c>
      <c r="C498" s="2" t="s">
        <v>1347</v>
      </c>
      <c r="D498" s="2" t="n">
        <v>0</v>
      </c>
      <c r="E498" s="2" t="n">
        <v>5</v>
      </c>
      <c r="F498" s="2"/>
      <c r="G498" s="2" t="n">
        <v>0</v>
      </c>
      <c r="H498" s="2" t="n">
        <v>650</v>
      </c>
      <c r="I498" s="2" t="s">
        <v>26</v>
      </c>
      <c r="J498" s="2" t="n">
        <v>322</v>
      </c>
      <c r="K498" s="2" t="n">
        <v>0</v>
      </c>
      <c r="L498" s="2" t="n">
        <v>15</v>
      </c>
      <c r="M498" s="2" t="s">
        <v>131</v>
      </c>
      <c r="N498" s="3" t="n">
        <v>35</v>
      </c>
      <c r="O498" s="3" t="n">
        <v>-18.308</v>
      </c>
      <c r="P498" s="3" t="n">
        <v>168.156</v>
      </c>
      <c r="Q498" s="3" t="s">
        <v>993</v>
      </c>
      <c r="R498" s="2"/>
      <c r="S498" s="2"/>
      <c r="T498" s="4" t="n">
        <f aca="false">DATE(VALUE(MID(C498,7,4)),VALUE(MID(C498,4,2)),VALUE(MID(C498,1,2)))+TIME(VALUE(MID(C498,12,2)),VALUE(MID(C498,15,2)),0)</f>
        <v>40775.7173611111</v>
      </c>
      <c r="U498" s="2" t="str">
        <f aca="false">IF(AND(ISNUMBER(VALUE(MID(A498,7,1))),ISNUMBER(SEARCH("km",A498)),ISNUMBER(SEARCH("of",A498))),"Distance-location","Named-region")</f>
        <v>Named-region</v>
      </c>
      <c r="V498" s="2" t="str">
        <f aca="false">LOWER(M498)</f>
        <v>mwc</v>
      </c>
      <c r="W498" s="5" t="str">
        <f aca="false">IF(COUNTIFS($A$2:$A$1001,A498,$C$2:$C$1001,C498)&gt;1,"Duplicate","Unique")</f>
        <v>Unique</v>
      </c>
    </row>
    <row r="499" customFormat="false" ht="15" hidden="false" customHeight="false" outlineLevel="0" collapsed="false">
      <c r="A499" s="2" t="s">
        <v>1348</v>
      </c>
      <c r="B499" s="3" t="n">
        <v>7.2</v>
      </c>
      <c r="C499" s="2" t="s">
        <v>1349</v>
      </c>
      <c r="D499" s="2" t="n">
        <v>8</v>
      </c>
      <c r="E499" s="2" t="n">
        <v>6</v>
      </c>
      <c r="F499" s="2"/>
      <c r="G499" s="2" t="n">
        <v>0</v>
      </c>
      <c r="H499" s="2" t="n">
        <v>813</v>
      </c>
      <c r="I499" s="2" t="s">
        <v>26</v>
      </c>
      <c r="J499" s="2" t="n">
        <v>280</v>
      </c>
      <c r="K499" s="2" t="n">
        <v>0</v>
      </c>
      <c r="L499" s="2" t="n">
        <v>18.4</v>
      </c>
      <c r="M499" s="2" t="s">
        <v>27</v>
      </c>
      <c r="N499" s="3" t="n">
        <v>32</v>
      </c>
      <c r="O499" s="3" t="n">
        <v>-18.365</v>
      </c>
      <c r="P499" s="3" t="n">
        <v>168.143</v>
      </c>
      <c r="Q499" s="3" t="s">
        <v>993</v>
      </c>
      <c r="R499" s="2"/>
      <c r="S499" s="2"/>
      <c r="T499" s="4" t="n">
        <f aca="false">DATE(VALUE(MID(C499,7,4)),VALUE(MID(C499,4,2)),VALUE(MID(C499,1,2)))+TIME(VALUE(MID(C499,12,2)),VALUE(MID(C499,15,2)),0)</f>
        <v>40775.7048611111</v>
      </c>
      <c r="U499" s="2" t="str">
        <f aca="false">IF(AND(ISNUMBER(VALUE(MID(A499,7,1))),ISNUMBER(SEARCH("km",A499)),ISNUMBER(SEARCH("of",A499))),"Distance-location","Named-region")</f>
        <v>Named-region</v>
      </c>
      <c r="V499" s="2" t="str">
        <f aca="false">LOWER(M499)</f>
        <v>mww</v>
      </c>
      <c r="W499" s="5" t="str">
        <f aca="false">IF(COUNTIFS($A$2:$A$1001,A499,$C$2:$C$1001,C499)&gt;1,"Duplicate","Unique")</f>
        <v>Unique</v>
      </c>
    </row>
    <row r="500" customFormat="false" ht="15" hidden="false" customHeight="false" outlineLevel="0" collapsed="false">
      <c r="A500" s="2" t="s">
        <v>1350</v>
      </c>
      <c r="B500" s="3" t="n">
        <v>6.6</v>
      </c>
      <c r="C500" s="2" t="s">
        <v>1351</v>
      </c>
      <c r="D500" s="2" t="n">
        <v>3</v>
      </c>
      <c r="E500" s="2" t="n">
        <v>6</v>
      </c>
      <c r="F500" s="2"/>
      <c r="G500" s="2" t="n">
        <v>0</v>
      </c>
      <c r="H500" s="2" t="n">
        <v>674</v>
      </c>
      <c r="I500" s="2" t="s">
        <v>26</v>
      </c>
      <c r="J500" s="2" t="n">
        <v>229</v>
      </c>
      <c r="K500" s="2" t="n">
        <v>0</v>
      </c>
      <c r="L500" s="2" t="n">
        <v>16.6</v>
      </c>
      <c r="M500" s="2" t="s">
        <v>27</v>
      </c>
      <c r="N500" s="3" t="n">
        <v>10</v>
      </c>
      <c r="O500" s="3" t="n">
        <v>-3.518</v>
      </c>
      <c r="P500" s="3" t="n">
        <v>144.828</v>
      </c>
      <c r="Q500" s="3" t="s">
        <v>667</v>
      </c>
      <c r="R500" s="2"/>
      <c r="S500" s="2" t="s">
        <v>89</v>
      </c>
      <c r="T500" s="4" t="n">
        <f aca="false">DATE(VALUE(MID(C500,7,4)),VALUE(MID(C500,4,2)),VALUE(MID(C500,1,2)))+TIME(VALUE(MID(C500,12,2)),VALUE(MID(C500,15,2)),0)</f>
        <v>40755.9847222222</v>
      </c>
      <c r="U500" s="2" t="str">
        <f aca="false">IF(AND(ISNUMBER(VALUE(MID(A500,7,1))),ISNUMBER(SEARCH("km",A500)),ISNUMBER(SEARCH("of",A500))),"Distance-location","Named-region")</f>
        <v>Named-region</v>
      </c>
      <c r="V500" s="2" t="str">
        <f aca="false">LOWER(M500)</f>
        <v>mww</v>
      </c>
      <c r="W500" s="5" t="str">
        <f aca="false">IF(COUNTIFS($A$2:$A$1001,A500,$C$2:$C$1001,C500)&gt;1,"Duplicate","Unique")</f>
        <v>Unique</v>
      </c>
    </row>
    <row r="501" customFormat="false" ht="15" hidden="false" customHeight="false" outlineLevel="0" collapsed="false">
      <c r="A501" s="2" t="s">
        <v>1352</v>
      </c>
      <c r="B501" s="3" t="n">
        <v>7.6</v>
      </c>
      <c r="C501" s="2" t="s">
        <v>1353</v>
      </c>
      <c r="D501" s="2" t="n">
        <v>3</v>
      </c>
      <c r="E501" s="2" t="n">
        <v>7</v>
      </c>
      <c r="F501" s="2"/>
      <c r="G501" s="2" t="n">
        <v>0</v>
      </c>
      <c r="H501" s="2" t="n">
        <v>893</v>
      </c>
      <c r="I501" s="2" t="s">
        <v>26</v>
      </c>
      <c r="J501" s="2" t="n">
        <v>567</v>
      </c>
      <c r="K501" s="2" t="n">
        <v>0</v>
      </c>
      <c r="L501" s="2" t="n">
        <v>33.5</v>
      </c>
      <c r="M501" s="2" t="s">
        <v>27</v>
      </c>
      <c r="N501" s="3" t="n">
        <v>17</v>
      </c>
      <c r="O501" s="3" t="n">
        <v>-29.539</v>
      </c>
      <c r="P501" s="3" t="n">
        <v>-176.34</v>
      </c>
      <c r="Q501" s="3" t="s">
        <v>103</v>
      </c>
      <c r="R501" s="2"/>
      <c r="S501" s="2"/>
      <c r="T501" s="4" t="n">
        <f aca="false">DATE(VALUE(MID(C501,7,4)),VALUE(MID(C501,4,2)),VALUE(MID(C501,1,2)))+TIME(VALUE(MID(C501,12,2)),VALUE(MID(C501,15,2)),0)</f>
        <v>40730.79375</v>
      </c>
      <c r="U501" s="2" t="str">
        <f aca="false">IF(AND(ISNUMBER(VALUE(MID(A501,7,1))),ISNUMBER(SEARCH("km",A501)),ISNUMBER(SEARCH("of",A501))),"Distance-location","Named-region")</f>
        <v>Named-region</v>
      </c>
      <c r="V501" s="2" t="str">
        <f aca="false">LOWER(M501)</f>
        <v>mww</v>
      </c>
      <c r="W501" s="5" t="str">
        <f aca="false">IF(COUNTIFS($A$2:$A$1001,A501,$C$2:$C$1001,C501)&gt;1,"Duplicate","Unique")</f>
        <v>Unique</v>
      </c>
    </row>
    <row r="502" customFormat="false" ht="15" hidden="false" customHeight="false" outlineLevel="0" collapsed="false">
      <c r="A502" s="2" t="s">
        <v>1354</v>
      </c>
      <c r="B502" s="3" t="n">
        <v>6.7</v>
      </c>
      <c r="C502" s="2" t="s">
        <v>1355</v>
      </c>
      <c r="D502" s="2" t="n">
        <v>6</v>
      </c>
      <c r="E502" s="2" t="n">
        <v>6</v>
      </c>
      <c r="F502" s="2"/>
      <c r="G502" s="2" t="n">
        <v>0</v>
      </c>
      <c r="H502" s="2" t="n">
        <v>749</v>
      </c>
      <c r="I502" s="2" t="s">
        <v>26</v>
      </c>
      <c r="J502" s="2" t="n">
        <v>592</v>
      </c>
      <c r="K502" s="2" t="n">
        <v>0</v>
      </c>
      <c r="L502" s="2" t="n">
        <v>24.9</v>
      </c>
      <c r="M502" s="2" t="s">
        <v>27</v>
      </c>
      <c r="N502" s="3" t="n">
        <v>33</v>
      </c>
      <c r="O502" s="3" t="n">
        <v>39.955</v>
      </c>
      <c r="P502" s="3" t="n">
        <v>142.205</v>
      </c>
      <c r="Q502" s="3" t="s">
        <v>987</v>
      </c>
      <c r="R502" s="2" t="s">
        <v>84</v>
      </c>
      <c r="S502" s="2" t="s">
        <v>326</v>
      </c>
      <c r="T502" s="4" t="n">
        <f aca="false">DATE(VALUE(MID(C502,7,4)),VALUE(MID(C502,4,2)),VALUE(MID(C502,1,2)))+TIME(VALUE(MID(C502,12,2)),VALUE(MID(C502,15,2)),0)</f>
        <v>40716.9097222222</v>
      </c>
      <c r="U502" s="2" t="str">
        <f aca="false">IF(AND(ISNUMBER(VALUE(MID(A502,7,1))),ISNUMBER(SEARCH("km",A502)),ISNUMBER(SEARCH("of",A502))),"Distance-location","Named-region")</f>
        <v>Named-region</v>
      </c>
      <c r="V502" s="2" t="str">
        <f aca="false">LOWER(M502)</f>
        <v>mww</v>
      </c>
      <c r="W502" s="5" t="str">
        <f aca="false">IF(COUNTIFS($A$2:$A$1001,A502,$C$2:$C$1001,C502)&gt;1,"Duplicate","Unique")</f>
        <v>Unique</v>
      </c>
    </row>
    <row r="503" customFormat="false" ht="15" hidden="false" customHeight="false" outlineLevel="0" collapsed="false">
      <c r="A503" s="2" t="s">
        <v>1356</v>
      </c>
      <c r="B503" s="3" t="n">
        <v>6.8</v>
      </c>
      <c r="C503" s="2" t="s">
        <v>1357</v>
      </c>
      <c r="D503" s="2" t="n">
        <v>4</v>
      </c>
      <c r="E503" s="2" t="n">
        <v>5</v>
      </c>
      <c r="F503" s="2"/>
      <c r="G503" s="2" t="n">
        <v>0</v>
      </c>
      <c r="H503" s="2" t="n">
        <v>734</v>
      </c>
      <c r="I503" s="2" t="s">
        <v>26</v>
      </c>
      <c r="J503" s="2" t="n">
        <v>519</v>
      </c>
      <c r="K503" s="2" t="n">
        <v>0</v>
      </c>
      <c r="L503" s="2" t="n">
        <v>12.5</v>
      </c>
      <c r="M503" s="2" t="s">
        <v>27</v>
      </c>
      <c r="N503" s="3" t="n">
        <v>11</v>
      </c>
      <c r="O503" s="3" t="n">
        <v>-20.244</v>
      </c>
      <c r="P503" s="3" t="n">
        <v>168.226</v>
      </c>
      <c r="Q503" s="3" t="s">
        <v>1358</v>
      </c>
      <c r="R503" s="2"/>
      <c r="S503" s="2"/>
      <c r="T503" s="4" t="n">
        <f aca="false">DATE(VALUE(MID(C503,7,4)),VALUE(MID(C503,4,2)),VALUE(MID(C503,1,2)))+TIME(VALUE(MID(C503,12,2)),VALUE(MID(C503,15,2)),0)</f>
        <v>40673.3715277778</v>
      </c>
      <c r="U503" s="2" t="str">
        <f aca="false">IF(AND(ISNUMBER(VALUE(MID(A503,7,1))),ISNUMBER(SEARCH("km",A503)),ISNUMBER(SEARCH("of",A503))),"Distance-location","Named-region")</f>
        <v>Named-region</v>
      </c>
      <c r="V503" s="2" t="str">
        <f aca="false">LOWER(M503)</f>
        <v>mww</v>
      </c>
      <c r="W503" s="5" t="str">
        <f aca="false">IF(COUNTIFS($A$2:$A$1001,A503,$C$2:$C$1001,C503)&gt;1,"Duplicate","Unique")</f>
        <v>Unique</v>
      </c>
    </row>
    <row r="504" customFormat="false" ht="15" hidden="false" customHeight="false" outlineLevel="0" collapsed="false">
      <c r="A504" s="2" t="s">
        <v>1359</v>
      </c>
      <c r="B504" s="3" t="n">
        <v>6.8</v>
      </c>
      <c r="C504" s="2" t="s">
        <v>1360</v>
      </c>
      <c r="D504" s="2" t="n">
        <v>5</v>
      </c>
      <c r="E504" s="2" t="n">
        <v>6</v>
      </c>
      <c r="F504" s="2"/>
      <c r="G504" s="2" t="n">
        <v>0</v>
      </c>
      <c r="H504" s="2" t="n">
        <v>719</v>
      </c>
      <c r="I504" s="2" t="s">
        <v>26</v>
      </c>
      <c r="J504" s="2" t="n">
        <v>445</v>
      </c>
      <c r="K504" s="2" t="n">
        <v>0</v>
      </c>
      <c r="L504" s="2" t="n">
        <v>13</v>
      </c>
      <c r="M504" s="2" t="s">
        <v>27</v>
      </c>
      <c r="N504" s="3" t="n">
        <v>79</v>
      </c>
      <c r="O504" s="3" t="n">
        <v>-10.375</v>
      </c>
      <c r="P504" s="3" t="n">
        <v>161.2</v>
      </c>
      <c r="Q504" s="3" t="s">
        <v>585</v>
      </c>
      <c r="R504" s="2"/>
      <c r="S504" s="2" t="s">
        <v>144</v>
      </c>
      <c r="T504" s="4" t="n">
        <f aca="false">DATE(VALUE(MID(C504,7,4)),VALUE(MID(C504,4,2)),VALUE(MID(C504,1,2)))+TIME(VALUE(MID(C504,12,2)),VALUE(MID(C504,15,2)),0)</f>
        <v>40656.1777777778</v>
      </c>
      <c r="U504" s="2" t="str">
        <f aca="false">IF(AND(ISNUMBER(VALUE(MID(A504,7,1))),ISNUMBER(SEARCH("km",A504)),ISNUMBER(SEARCH("of",A504))),"Distance-location","Named-region")</f>
        <v>Named-region</v>
      </c>
      <c r="V504" s="2" t="str">
        <f aca="false">LOWER(M504)</f>
        <v>mww</v>
      </c>
      <c r="W504" s="5" t="str">
        <f aca="false">IF(COUNTIFS($A$2:$A$1001,A504,$C$2:$C$1001,C504)&gt;1,"Duplicate","Unique")</f>
        <v>Unique</v>
      </c>
    </row>
    <row r="505" customFormat="false" ht="15" hidden="false" customHeight="false" outlineLevel="0" collapsed="false">
      <c r="A505" s="2" t="s">
        <v>1361</v>
      </c>
      <c r="B505" s="3" t="n">
        <v>6.6</v>
      </c>
      <c r="C505" s="2" t="s">
        <v>1362</v>
      </c>
      <c r="D505" s="2" t="n">
        <v>7</v>
      </c>
      <c r="E505" s="2" t="n">
        <v>7</v>
      </c>
      <c r="F505" s="2"/>
      <c r="G505" s="2" t="n">
        <v>0</v>
      </c>
      <c r="H505" s="2" t="n">
        <v>822</v>
      </c>
      <c r="I505" s="2" t="s">
        <v>26</v>
      </c>
      <c r="J505" s="2" t="n">
        <v>586</v>
      </c>
      <c r="K505" s="2" t="n">
        <v>0</v>
      </c>
      <c r="L505" s="2" t="n">
        <v>10.1</v>
      </c>
      <c r="M505" s="2" t="s">
        <v>27</v>
      </c>
      <c r="N505" s="3" t="n">
        <v>11</v>
      </c>
      <c r="O505" s="3" t="n">
        <v>37.001</v>
      </c>
      <c r="P505" s="3" t="n">
        <v>140.401</v>
      </c>
      <c r="Q505" s="3" t="s">
        <v>1363</v>
      </c>
      <c r="R505" s="2" t="s">
        <v>84</v>
      </c>
      <c r="S505" s="2" t="s">
        <v>326</v>
      </c>
      <c r="T505" s="4" t="n">
        <f aca="false">DATE(VALUE(MID(C505,7,4)),VALUE(MID(C505,4,2)),VALUE(MID(C505,1,2)))+TIME(VALUE(MID(C505,12,2)),VALUE(MID(C505,15,2)),0)</f>
        <v>40644.3444444445</v>
      </c>
      <c r="U505" s="2" t="str">
        <f aca="false">IF(AND(ISNUMBER(VALUE(MID(A505,7,1))),ISNUMBER(SEARCH("km",A505)),ISNUMBER(SEARCH("of",A505))),"Distance-location","Named-region")</f>
        <v>Named-region</v>
      </c>
      <c r="V505" s="2" t="str">
        <f aca="false">LOWER(M505)</f>
        <v>mww</v>
      </c>
      <c r="W505" s="5" t="str">
        <f aca="false">IF(COUNTIFS($A$2:$A$1001,A505,$C$2:$C$1001,C505)&gt;1,"Duplicate","Unique")</f>
        <v>Unique</v>
      </c>
    </row>
    <row r="506" customFormat="false" ht="15" hidden="false" customHeight="false" outlineLevel="0" collapsed="false">
      <c r="A506" s="2" t="s">
        <v>1364</v>
      </c>
      <c r="B506" s="3" t="n">
        <v>7.1</v>
      </c>
      <c r="C506" s="2" t="s">
        <v>1365</v>
      </c>
      <c r="D506" s="2" t="n">
        <v>8</v>
      </c>
      <c r="E506" s="2" t="n">
        <v>8</v>
      </c>
      <c r="F506" s="2"/>
      <c r="G506" s="2" t="n">
        <v>0</v>
      </c>
      <c r="H506" s="2" t="n">
        <v>1114</v>
      </c>
      <c r="I506" s="2" t="s">
        <v>26</v>
      </c>
      <c r="J506" s="2" t="n">
        <v>446</v>
      </c>
      <c r="K506" s="2" t="n">
        <v>0</v>
      </c>
      <c r="L506" s="2" t="n">
        <v>17.7</v>
      </c>
      <c r="M506" s="2" t="s">
        <v>27</v>
      </c>
      <c r="N506" s="3" t="n">
        <v>42</v>
      </c>
      <c r="O506" s="3" t="n">
        <v>38.276</v>
      </c>
      <c r="P506" s="3" t="n">
        <v>141.588</v>
      </c>
      <c r="Q506" s="3" t="s">
        <v>335</v>
      </c>
      <c r="R506" s="2" t="s">
        <v>84</v>
      </c>
      <c r="S506" s="2" t="s">
        <v>326</v>
      </c>
      <c r="T506" s="4" t="n">
        <f aca="false">DATE(VALUE(MID(C506,7,4)),VALUE(MID(C506,4,2)),VALUE(MID(C506,1,2)))+TIME(VALUE(MID(C506,12,2)),VALUE(MID(C506,15,2)),0)</f>
        <v>40640.6055555556</v>
      </c>
      <c r="U506" s="2" t="str">
        <f aca="false">IF(AND(ISNUMBER(VALUE(MID(A506,7,1))),ISNUMBER(SEARCH("km",A506)),ISNUMBER(SEARCH("of",A506))),"Distance-location","Named-region")</f>
        <v>Named-region</v>
      </c>
      <c r="V506" s="2" t="str">
        <f aca="false">LOWER(M506)</f>
        <v>mww</v>
      </c>
      <c r="W506" s="5" t="str">
        <f aca="false">IF(COUNTIFS($A$2:$A$1001,A506,$C$2:$C$1001,C506)&gt;1,"Duplicate","Unique")</f>
        <v>Unique</v>
      </c>
    </row>
    <row r="507" customFormat="false" ht="15" hidden="false" customHeight="false" outlineLevel="0" collapsed="false">
      <c r="A507" s="2" t="s">
        <v>1366</v>
      </c>
      <c r="B507" s="3" t="n">
        <v>6.6</v>
      </c>
      <c r="C507" s="2" t="s">
        <v>1367</v>
      </c>
      <c r="D507" s="2" t="n">
        <v>7</v>
      </c>
      <c r="E507" s="2" t="n">
        <v>6</v>
      </c>
      <c r="F507" s="2"/>
      <c r="G507" s="2" t="n">
        <v>0</v>
      </c>
      <c r="H507" s="2" t="n">
        <v>897</v>
      </c>
      <c r="I507" s="2" t="s">
        <v>26</v>
      </c>
      <c r="J507" s="2" t="n">
        <v>518</v>
      </c>
      <c r="K507" s="2" t="n">
        <v>0</v>
      </c>
      <c r="L507" s="2" t="n">
        <v>37.2</v>
      </c>
      <c r="M507" s="2" t="s">
        <v>27</v>
      </c>
      <c r="N507" s="3" t="n">
        <v>166.2</v>
      </c>
      <c r="O507" s="3" t="n">
        <v>17.208</v>
      </c>
      <c r="P507" s="3" t="n">
        <v>-94.338</v>
      </c>
      <c r="Q507" s="3" t="s">
        <v>1368</v>
      </c>
      <c r="R507" s="2"/>
      <c r="S507" s="2" t="s">
        <v>169</v>
      </c>
      <c r="T507" s="4" t="n">
        <f aca="false">DATE(VALUE(MID(C507,7,4)),VALUE(MID(C507,4,2)),VALUE(MID(C507,1,2)))+TIME(VALUE(MID(C507,12,2)),VALUE(MID(C507,15,2)),0)</f>
        <v>40640.5493055556</v>
      </c>
      <c r="U507" s="2" t="str">
        <f aca="false">IF(AND(ISNUMBER(VALUE(MID(A507,7,1))),ISNUMBER(SEARCH("km",A507)),ISNUMBER(SEARCH("of",A507))),"Distance-location","Named-region")</f>
        <v>Named-region</v>
      </c>
      <c r="V507" s="2" t="str">
        <f aca="false">LOWER(M507)</f>
        <v>mww</v>
      </c>
      <c r="W507" s="5" t="str">
        <f aca="false">IF(COUNTIFS($A$2:$A$1001,A507,$C$2:$C$1001,C507)&gt;1,"Duplicate","Unique")</f>
        <v>Unique</v>
      </c>
    </row>
    <row r="508" customFormat="false" ht="15" hidden="false" customHeight="false" outlineLevel="0" collapsed="false">
      <c r="A508" s="2" t="s">
        <v>1369</v>
      </c>
      <c r="B508" s="3" t="n">
        <v>6.9</v>
      </c>
      <c r="C508" s="2" t="s">
        <v>1370</v>
      </c>
      <c r="D508" s="2" t="n">
        <v>7</v>
      </c>
      <c r="E508" s="2" t="n">
        <v>9</v>
      </c>
      <c r="F508" s="2"/>
      <c r="G508" s="2" t="n">
        <v>0</v>
      </c>
      <c r="H508" s="2" t="n">
        <v>1154</v>
      </c>
      <c r="I508" s="2" t="s">
        <v>26</v>
      </c>
      <c r="J508" s="2" t="n">
        <v>335</v>
      </c>
      <c r="K508" s="2" t="n">
        <v>0</v>
      </c>
      <c r="L508" s="2" t="n">
        <v>18.2</v>
      </c>
      <c r="M508" s="2" t="s">
        <v>27</v>
      </c>
      <c r="N508" s="3" t="n">
        <v>8</v>
      </c>
      <c r="O508" s="3" t="n">
        <v>20.687</v>
      </c>
      <c r="P508" s="3" t="n">
        <v>99.822</v>
      </c>
      <c r="Q508" s="3" t="s">
        <v>1371</v>
      </c>
      <c r="R508" s="2" t="s">
        <v>84</v>
      </c>
      <c r="S508" s="2" t="s">
        <v>805</v>
      </c>
      <c r="T508" s="4" t="n">
        <f aca="false">DATE(VALUE(MID(C508,7,4)),VALUE(MID(C508,4,2)),VALUE(MID(C508,1,2)))+TIME(VALUE(MID(C508,12,2)),VALUE(MID(C508,15,2)),0)</f>
        <v>40626.5798611111</v>
      </c>
      <c r="U508" s="2" t="str">
        <f aca="false">IF(AND(ISNUMBER(VALUE(MID(A508,7,1))),ISNUMBER(SEARCH("km",A508)),ISNUMBER(SEARCH("of",A508))),"Distance-location","Named-region")</f>
        <v>Named-region</v>
      </c>
      <c r="V508" s="2" t="str">
        <f aca="false">LOWER(M508)</f>
        <v>mww</v>
      </c>
      <c r="W508" s="5" t="str">
        <f aca="false">IF(COUNTIFS($A$2:$A$1001,A508,$C$2:$C$1001,C508)&gt;1,"Duplicate","Unique")</f>
        <v>Unique</v>
      </c>
    </row>
    <row r="509" customFormat="false" ht="15" hidden="false" customHeight="false" outlineLevel="0" collapsed="false">
      <c r="A509" s="2" t="s">
        <v>1372</v>
      </c>
      <c r="B509" s="3" t="n">
        <v>6.6</v>
      </c>
      <c r="C509" s="2" t="s">
        <v>1373</v>
      </c>
      <c r="D509" s="2" t="n">
        <v>6</v>
      </c>
      <c r="E509" s="2" t="n">
        <v>5</v>
      </c>
      <c r="F509" s="2"/>
      <c r="G509" s="2" t="n">
        <v>0</v>
      </c>
      <c r="H509" s="2" t="n">
        <v>673</v>
      </c>
      <c r="I509" s="2" t="s">
        <v>26</v>
      </c>
      <c r="J509" s="2" t="n">
        <v>668</v>
      </c>
      <c r="K509" s="2" t="n">
        <v>0</v>
      </c>
      <c r="L509" s="2" t="n">
        <v>9.5</v>
      </c>
      <c r="M509" s="2" t="s">
        <v>1374</v>
      </c>
      <c r="N509" s="3" t="n">
        <v>25.7</v>
      </c>
      <c r="O509" s="3" t="n">
        <v>39.241</v>
      </c>
      <c r="P509" s="3" t="n">
        <v>142.463</v>
      </c>
      <c r="Q509" s="3" t="s">
        <v>1375</v>
      </c>
      <c r="R509" s="2"/>
      <c r="S509" s="2"/>
      <c r="T509" s="4" t="n">
        <f aca="false">DATE(VALUE(MID(C509,7,4)),VALUE(MID(C509,4,2)),VALUE(MID(C509,1,2)))+TIME(VALUE(MID(C509,12,2)),VALUE(MID(C509,15,2)),0)</f>
        <v>40613.4833333333</v>
      </c>
      <c r="U509" s="2" t="str">
        <f aca="false">IF(AND(ISNUMBER(VALUE(MID(A509,7,1))),ISNUMBER(SEARCH("km",A509)),ISNUMBER(SEARCH("of",A509))),"Distance-location","Named-region")</f>
        <v>Named-region</v>
      </c>
      <c r="V509" s="2" t="str">
        <f aca="false">LOWER(M509)</f>
        <v>ms</v>
      </c>
      <c r="W509" s="5" t="str">
        <f aca="false">IF(COUNTIFS($A$2:$A$1001,A509,$C$2:$C$1001,C509)&gt;1,"Duplicate","Unique")</f>
        <v>Unique</v>
      </c>
    </row>
    <row r="510" customFormat="false" ht="15" hidden="false" customHeight="false" outlineLevel="0" collapsed="false">
      <c r="A510" s="2" t="s">
        <v>1376</v>
      </c>
      <c r="B510" s="3" t="n">
        <v>6.5</v>
      </c>
      <c r="C510" s="2" t="s">
        <v>1377</v>
      </c>
      <c r="D510" s="2" t="n">
        <v>0</v>
      </c>
      <c r="E510" s="2" t="n">
        <v>4</v>
      </c>
      <c r="F510" s="2"/>
      <c r="G510" s="2" t="n">
        <v>0</v>
      </c>
      <c r="H510" s="2" t="n">
        <v>650</v>
      </c>
      <c r="I510" s="2" t="s">
        <v>26</v>
      </c>
      <c r="J510" s="2" t="n">
        <v>369</v>
      </c>
      <c r="K510" s="2" t="n">
        <v>0</v>
      </c>
      <c r="L510" s="2" t="n">
        <v>18.7</v>
      </c>
      <c r="M510" s="2" t="s">
        <v>1378</v>
      </c>
      <c r="N510" s="3" t="n">
        <v>6.8</v>
      </c>
      <c r="O510" s="3" t="n">
        <v>36.166</v>
      </c>
      <c r="P510" s="3" t="n">
        <v>141.562</v>
      </c>
      <c r="Q510" s="3" t="s">
        <v>1379</v>
      </c>
      <c r="R510" s="2"/>
      <c r="S510" s="2"/>
      <c r="T510" s="4" t="n">
        <f aca="false">DATE(VALUE(MID(C510,7,4)),VALUE(MID(C510,4,2)),VALUE(MID(C510,1,2)))+TIME(VALUE(MID(C510,12,2)),VALUE(MID(C510,15,2)),0)</f>
        <v>40613.3465277778</v>
      </c>
      <c r="U510" s="2" t="str">
        <f aca="false">IF(AND(ISNUMBER(VALUE(MID(A510,7,1))),ISNUMBER(SEARCH("km",A510)),ISNUMBER(SEARCH("of",A510))),"Distance-location","Named-region")</f>
        <v>Named-region</v>
      </c>
      <c r="V510" s="2" t="str">
        <f aca="false">LOWER(M510)</f>
        <v>mb</v>
      </c>
      <c r="W510" s="5" t="str">
        <f aca="false">IF(COUNTIFS($A$2:$A$1001,A510,$C$2:$C$1001,C510)&gt;1,"Duplicate","Unique")</f>
        <v>Unique</v>
      </c>
    </row>
    <row r="511" customFormat="false" ht="15" hidden="false" customHeight="false" outlineLevel="0" collapsed="false">
      <c r="A511" s="2" t="s">
        <v>1380</v>
      </c>
      <c r="B511" s="3" t="n">
        <v>7.7</v>
      </c>
      <c r="C511" s="2" t="s">
        <v>1381</v>
      </c>
      <c r="D511" s="2" t="n">
        <v>7</v>
      </c>
      <c r="E511" s="2" t="n">
        <v>4</v>
      </c>
      <c r="F511" s="2"/>
      <c r="G511" s="2" t="n">
        <v>0</v>
      </c>
      <c r="H511" s="2" t="n">
        <v>931</v>
      </c>
      <c r="I511" s="2" t="s">
        <v>26</v>
      </c>
      <c r="J511" s="2" t="n">
        <v>507</v>
      </c>
      <c r="K511" s="2" t="n">
        <v>0</v>
      </c>
      <c r="L511" s="2" t="n">
        <v>10.8</v>
      </c>
      <c r="M511" s="2" t="s">
        <v>131</v>
      </c>
      <c r="N511" s="3" t="n">
        <v>18.6</v>
      </c>
      <c r="O511" s="3" t="n">
        <v>38.058</v>
      </c>
      <c r="P511" s="3" t="n">
        <v>144.59</v>
      </c>
      <c r="Q511" s="3" t="s">
        <v>1382</v>
      </c>
      <c r="R511" s="2"/>
      <c r="S511" s="2"/>
      <c r="T511" s="4" t="n">
        <f aca="false">DATE(VALUE(MID(C511,7,4)),VALUE(MID(C511,4,2)),VALUE(MID(C511,1,2)))+TIME(VALUE(MID(C511,12,2)),VALUE(MID(C511,15,2)),0)</f>
        <v>40613.2673611111</v>
      </c>
      <c r="U511" s="2" t="str">
        <f aca="false">IF(AND(ISNUMBER(VALUE(MID(A511,7,1))),ISNUMBER(SEARCH("km",A511)),ISNUMBER(SEARCH("of",A511))),"Distance-location","Named-region")</f>
        <v>Named-region</v>
      </c>
      <c r="V511" s="2" t="str">
        <f aca="false">LOWER(M511)</f>
        <v>mwc</v>
      </c>
      <c r="W511" s="5" t="str">
        <f aca="false">IF(COUNTIFS($A$2:$A$1001,A511,$C$2:$C$1001,C511)&gt;1,"Duplicate","Unique")</f>
        <v>Unique</v>
      </c>
    </row>
    <row r="512" customFormat="false" ht="15" hidden="false" customHeight="false" outlineLevel="0" collapsed="false">
      <c r="A512" s="2" t="s">
        <v>1383</v>
      </c>
      <c r="B512" s="3" t="n">
        <v>7.9</v>
      </c>
      <c r="C512" s="2" t="s">
        <v>1384</v>
      </c>
      <c r="D512" s="2" t="n">
        <v>8</v>
      </c>
      <c r="E512" s="2" t="n">
        <v>7</v>
      </c>
      <c r="F512" s="2"/>
      <c r="G512" s="2" t="n">
        <v>0</v>
      </c>
      <c r="H512" s="2" t="n">
        <v>1140</v>
      </c>
      <c r="I512" s="2" t="s">
        <v>26</v>
      </c>
      <c r="J512" s="2" t="n">
        <v>163</v>
      </c>
      <c r="K512" s="2" t="n">
        <v>0</v>
      </c>
      <c r="L512" s="2" t="n">
        <v>48.4</v>
      </c>
      <c r="M512" s="2" t="s">
        <v>131</v>
      </c>
      <c r="N512" s="3" t="n">
        <v>42.6</v>
      </c>
      <c r="O512" s="3" t="n">
        <v>36.281</v>
      </c>
      <c r="P512" s="3" t="n">
        <v>141.111</v>
      </c>
      <c r="Q512" s="3" t="s">
        <v>1385</v>
      </c>
      <c r="R512" s="2"/>
      <c r="S512" s="2"/>
      <c r="T512" s="4" t="n">
        <f aca="false">DATE(VALUE(MID(C512,7,4)),VALUE(MID(C512,4,2)),VALUE(MID(C512,1,2)))+TIME(VALUE(MID(C512,12,2)),VALUE(MID(C512,15,2)),0)</f>
        <v>40613.2604166667</v>
      </c>
      <c r="U512" s="2" t="str">
        <f aca="false">IF(AND(ISNUMBER(VALUE(MID(A512,7,1))),ISNUMBER(SEARCH("km",A512)),ISNUMBER(SEARCH("of",A512))),"Distance-location","Named-region")</f>
        <v>Named-region</v>
      </c>
      <c r="V512" s="2" t="str">
        <f aca="false">LOWER(M512)</f>
        <v>mwc</v>
      </c>
      <c r="W512" s="5" t="str">
        <f aca="false">IF(COUNTIFS($A$2:$A$1001,A512,$C$2:$C$1001,C512)&gt;1,"Duplicate","Unique")</f>
        <v>Unique</v>
      </c>
    </row>
    <row r="513" customFormat="false" ht="28.35" hidden="false" customHeight="false" outlineLevel="0" collapsed="false">
      <c r="A513" s="2" t="s">
        <v>1386</v>
      </c>
      <c r="B513" s="3" t="n">
        <v>9.1</v>
      </c>
      <c r="C513" s="2" t="s">
        <v>1387</v>
      </c>
      <c r="D513" s="2" t="n">
        <v>9</v>
      </c>
      <c r="E513" s="2" t="n">
        <v>8</v>
      </c>
      <c r="F513" s="2"/>
      <c r="G513" s="2" t="n">
        <v>0</v>
      </c>
      <c r="H513" s="2" t="n">
        <v>2184</v>
      </c>
      <c r="I513" s="2" t="s">
        <v>1297</v>
      </c>
      <c r="J513" s="2" t="n">
        <v>541</v>
      </c>
      <c r="K513" s="2" t="n">
        <v>0</v>
      </c>
      <c r="L513" s="2" t="n">
        <v>9.5</v>
      </c>
      <c r="M513" s="2" t="s">
        <v>27</v>
      </c>
      <c r="N513" s="3" t="n">
        <v>29</v>
      </c>
      <c r="O513" s="3" t="n">
        <v>38.297</v>
      </c>
      <c r="P513" s="3" t="n">
        <v>142.373</v>
      </c>
      <c r="Q513" s="3" t="s">
        <v>1388</v>
      </c>
      <c r="R513" s="2"/>
      <c r="S513" s="2"/>
      <c r="T513" s="4" t="n">
        <f aca="false">DATE(VALUE(MID(C513,7,4)),VALUE(MID(C513,4,2)),VALUE(MID(C513,1,2)))+TIME(VALUE(MID(C513,12,2)),VALUE(MID(C513,15,2)),0)</f>
        <v>40613.2402777778</v>
      </c>
      <c r="U513" s="2" t="str">
        <f aca="false">IF(AND(ISNUMBER(VALUE(MID(A513,7,1))),ISNUMBER(SEARCH("km",A513)),ISNUMBER(SEARCH("of",A513))),"Distance-location","Named-region")</f>
        <v>Named-region</v>
      </c>
      <c r="V513" s="2" t="str">
        <f aca="false">LOWER(M513)</f>
        <v>mww</v>
      </c>
      <c r="W513" s="5" t="str">
        <f aca="false">IF(COUNTIFS($A$2:$A$1001,A513,$C$2:$C$1001,C513)&gt;1,"Duplicate","Unique")</f>
        <v>Unique</v>
      </c>
    </row>
    <row r="514" customFormat="false" ht="15" hidden="false" customHeight="false" outlineLevel="0" collapsed="false">
      <c r="A514" s="2" t="s">
        <v>1389</v>
      </c>
      <c r="B514" s="3" t="n">
        <v>7.3</v>
      </c>
      <c r="C514" s="2" t="s">
        <v>1390</v>
      </c>
      <c r="D514" s="2" t="n">
        <v>5</v>
      </c>
      <c r="E514" s="2" t="n">
        <v>5</v>
      </c>
      <c r="F514" s="2"/>
      <c r="G514" s="2" t="n">
        <v>0</v>
      </c>
      <c r="H514" s="2" t="n">
        <v>972</v>
      </c>
      <c r="I514" s="2" t="s">
        <v>26</v>
      </c>
      <c r="J514" s="2" t="n">
        <v>550</v>
      </c>
      <c r="K514" s="2" t="n">
        <v>0</v>
      </c>
      <c r="L514" s="2" t="n">
        <v>17.4</v>
      </c>
      <c r="M514" s="2" t="s">
        <v>27</v>
      </c>
      <c r="N514" s="3" t="n">
        <v>32</v>
      </c>
      <c r="O514" s="3" t="n">
        <v>38.435</v>
      </c>
      <c r="P514" s="3" t="n">
        <v>142.842</v>
      </c>
      <c r="Q514" s="3" t="s">
        <v>957</v>
      </c>
      <c r="R514" s="2"/>
      <c r="S514" s="2"/>
      <c r="T514" s="4" t="n">
        <f aca="false">DATE(VALUE(MID(C514,7,4)),VALUE(MID(C514,4,2)),VALUE(MID(C514,1,2)))+TIME(VALUE(MID(C514,12,2)),VALUE(MID(C514,15,2)),0)</f>
        <v>40611.1145833333</v>
      </c>
      <c r="U514" s="2" t="str">
        <f aca="false">IF(AND(ISNUMBER(VALUE(MID(A514,7,1))),ISNUMBER(SEARCH("km",A514)),ISNUMBER(SEARCH("of",A514))),"Distance-location","Named-region")</f>
        <v>Named-region</v>
      </c>
      <c r="V514" s="2" t="str">
        <f aca="false">LOWER(M514)</f>
        <v>mww</v>
      </c>
      <c r="W514" s="5" t="str">
        <f aca="false">IF(COUNTIFS($A$2:$A$1001,A514,$C$2:$C$1001,C514)&gt;1,"Duplicate","Unique")</f>
        <v>Unique</v>
      </c>
    </row>
    <row r="515" customFormat="false" ht="15" hidden="false" customHeight="false" outlineLevel="0" collapsed="false">
      <c r="A515" s="2" t="s">
        <v>1391</v>
      </c>
      <c r="B515" s="3" t="n">
        <v>6.7</v>
      </c>
      <c r="C515" s="2" t="s">
        <v>1392</v>
      </c>
      <c r="D515" s="2" t="n">
        <v>5</v>
      </c>
      <c r="E515" s="2" t="n">
        <v>6</v>
      </c>
      <c r="F515" s="2"/>
      <c r="G515" s="2" t="n">
        <v>0</v>
      </c>
      <c r="H515" s="2" t="n">
        <v>731</v>
      </c>
      <c r="I515" s="2" t="s">
        <v>26</v>
      </c>
      <c r="J515" s="2" t="n">
        <v>358</v>
      </c>
      <c r="K515" s="2" t="n">
        <v>0</v>
      </c>
      <c r="L515" s="2" t="n">
        <v>33.9</v>
      </c>
      <c r="M515" s="2" t="s">
        <v>27</v>
      </c>
      <c r="N515" s="3" t="n">
        <v>21</v>
      </c>
      <c r="O515" s="3" t="n">
        <v>-35.38</v>
      </c>
      <c r="P515" s="3" t="n">
        <v>-72.834</v>
      </c>
      <c r="Q515" s="3" t="s">
        <v>459</v>
      </c>
      <c r="R515" s="2"/>
      <c r="S515" s="2"/>
      <c r="T515" s="4" t="n">
        <f aca="false">DATE(VALUE(MID(C515,7,4)),VALUE(MID(C515,4,2)),VALUE(MID(C515,1,2)))+TIME(VALUE(MID(C515,12,2)),VALUE(MID(C515,15,2)),0)</f>
        <v>40588.1527777778</v>
      </c>
      <c r="U515" s="2" t="str">
        <f aca="false">IF(AND(ISNUMBER(VALUE(MID(A515,7,1))),ISNUMBER(SEARCH("km",A515)),ISNUMBER(SEARCH("of",A515))),"Distance-location","Named-region")</f>
        <v>Named-region</v>
      </c>
      <c r="V515" s="2" t="str">
        <f aca="false">LOWER(M515)</f>
        <v>mww</v>
      </c>
      <c r="W515" s="5" t="str">
        <f aca="false">IF(COUNTIFS($A$2:$A$1001,A515,$C$2:$C$1001,C515)&gt;1,"Duplicate","Unique")</f>
        <v>Unique</v>
      </c>
    </row>
    <row r="516" customFormat="false" ht="15" hidden="false" customHeight="false" outlineLevel="0" collapsed="false">
      <c r="A516" s="2" t="s">
        <v>1393</v>
      </c>
      <c r="B516" s="3" t="n">
        <v>6.9</v>
      </c>
      <c r="C516" s="2" t="s">
        <v>1394</v>
      </c>
      <c r="D516" s="2" t="n">
        <v>7</v>
      </c>
      <c r="E516" s="2" t="n">
        <v>7</v>
      </c>
      <c r="F516" s="2"/>
      <c r="G516" s="2" t="n">
        <v>0</v>
      </c>
      <c r="H516" s="2" t="n">
        <v>988</v>
      </c>
      <c r="I516" s="2" t="s">
        <v>26</v>
      </c>
      <c r="J516" s="2" t="n">
        <v>382</v>
      </c>
      <c r="K516" s="2" t="n">
        <v>0</v>
      </c>
      <c r="L516" s="2" t="n">
        <v>34.7</v>
      </c>
      <c r="M516" s="2" t="s">
        <v>27</v>
      </c>
      <c r="N516" s="3" t="n">
        <v>26</v>
      </c>
      <c r="O516" s="3" t="n">
        <v>-36.422</v>
      </c>
      <c r="P516" s="3" t="n">
        <v>-72.96</v>
      </c>
      <c r="Q516" s="3" t="s">
        <v>1395</v>
      </c>
      <c r="R516" s="2" t="s">
        <v>37</v>
      </c>
      <c r="S516" s="2" t="s">
        <v>377</v>
      </c>
      <c r="T516" s="4" t="n">
        <f aca="false">DATE(VALUE(MID(C516,7,4)),VALUE(MID(C516,4,2)),VALUE(MID(C516,1,2)))+TIME(VALUE(MID(C516,12,2)),VALUE(MID(C516,15,2)),0)</f>
        <v>40585.8368055556</v>
      </c>
      <c r="U516" s="2" t="str">
        <f aca="false">IF(AND(ISNUMBER(VALUE(MID(A516,7,1))),ISNUMBER(SEARCH("km",A516)),ISNUMBER(SEARCH("of",A516))),"Distance-location","Named-region")</f>
        <v>Named-region</v>
      </c>
      <c r="V516" s="2" t="str">
        <f aca="false">LOWER(M516)</f>
        <v>mww</v>
      </c>
      <c r="W516" s="5" t="str">
        <f aca="false">IF(COUNTIFS($A$2:$A$1001,A516,$C$2:$C$1001,C516)&gt;1,"Duplicate","Unique")</f>
        <v>Unique</v>
      </c>
    </row>
    <row r="517" customFormat="false" ht="15" hidden="false" customHeight="false" outlineLevel="0" collapsed="false">
      <c r="A517" s="2" t="s">
        <v>1396</v>
      </c>
      <c r="B517" s="3" t="n">
        <v>7.2</v>
      </c>
      <c r="C517" s="2" t="s">
        <v>1397</v>
      </c>
      <c r="D517" s="2" t="n">
        <v>7</v>
      </c>
      <c r="E517" s="2" t="n">
        <v>7</v>
      </c>
      <c r="F517" s="2"/>
      <c r="G517" s="2" t="n">
        <v>0</v>
      </c>
      <c r="H517" s="2" t="n">
        <v>1449</v>
      </c>
      <c r="I517" s="2" t="s">
        <v>26</v>
      </c>
      <c r="J517" s="2" t="n">
        <v>372</v>
      </c>
      <c r="K517" s="2" t="n">
        <v>0</v>
      </c>
      <c r="L517" s="2" t="n">
        <v>25.3</v>
      </c>
      <c r="M517" s="2" t="s">
        <v>27</v>
      </c>
      <c r="N517" s="3" t="n">
        <v>68</v>
      </c>
      <c r="O517" s="3" t="n">
        <v>28.777</v>
      </c>
      <c r="P517" s="3" t="n">
        <v>63.951</v>
      </c>
      <c r="Q517" s="3" t="s">
        <v>1398</v>
      </c>
      <c r="R517" s="2" t="s">
        <v>84</v>
      </c>
      <c r="S517" s="2" t="s">
        <v>1138</v>
      </c>
      <c r="T517" s="4" t="n">
        <f aca="false">DATE(VALUE(MID(C517,7,4)),VALUE(MID(C517,4,2)),VALUE(MID(C517,1,2)))+TIME(VALUE(MID(C517,12,2)),VALUE(MID(C517,15,2)),0)</f>
        <v>40561.8493055556</v>
      </c>
      <c r="U517" s="2" t="str">
        <f aca="false">IF(AND(ISNUMBER(VALUE(MID(A517,7,1))),ISNUMBER(SEARCH("km",A517)),ISNUMBER(SEARCH("of",A517))),"Distance-location","Named-region")</f>
        <v>Named-region</v>
      </c>
      <c r="V517" s="2" t="str">
        <f aca="false">LOWER(M517)</f>
        <v>mww</v>
      </c>
      <c r="W517" s="5" t="str">
        <f aca="false">IF(COUNTIFS($A$2:$A$1001,A517,$C$2:$C$1001,C517)&gt;1,"Duplicate","Unique")</f>
        <v>Unique</v>
      </c>
    </row>
    <row r="518" customFormat="false" ht="15" hidden="false" customHeight="false" outlineLevel="0" collapsed="false">
      <c r="A518" s="2" t="s">
        <v>1399</v>
      </c>
      <c r="B518" s="3" t="n">
        <v>7</v>
      </c>
      <c r="C518" s="2" t="s">
        <v>1400</v>
      </c>
      <c r="D518" s="2" t="n">
        <v>2</v>
      </c>
      <c r="E518" s="2" t="n">
        <v>5</v>
      </c>
      <c r="F518" s="2"/>
      <c r="G518" s="2" t="n">
        <v>0</v>
      </c>
      <c r="H518" s="2" t="n">
        <v>755</v>
      </c>
      <c r="I518" s="2" t="s">
        <v>26</v>
      </c>
      <c r="J518" s="2" t="n">
        <v>578</v>
      </c>
      <c r="K518" s="2" t="n">
        <v>0</v>
      </c>
      <c r="L518" s="2" t="n">
        <v>13.3</v>
      </c>
      <c r="M518" s="2" t="s">
        <v>27</v>
      </c>
      <c r="N518" s="3" t="n">
        <v>9</v>
      </c>
      <c r="O518" s="3" t="n">
        <v>-20.628</v>
      </c>
      <c r="P518" s="3" t="n">
        <v>168.471</v>
      </c>
      <c r="Q518" s="3" t="s">
        <v>215</v>
      </c>
      <c r="R518" s="2"/>
      <c r="S518" s="2"/>
      <c r="T518" s="4" t="n">
        <f aca="false">DATE(VALUE(MID(C518,7,4)),VALUE(MID(C518,4,2)),VALUE(MID(C518,1,2)))+TIME(VALUE(MID(C518,12,2)),VALUE(MID(C518,15,2)),0)</f>
        <v>40556.6777777778</v>
      </c>
      <c r="U518" s="2" t="str">
        <f aca="false">IF(AND(ISNUMBER(VALUE(MID(A518,7,1))),ISNUMBER(SEARCH("km",A518)),ISNUMBER(SEARCH("of",A518))),"Distance-location","Named-region")</f>
        <v>Named-region</v>
      </c>
      <c r="V518" s="2" t="str">
        <f aca="false">LOWER(M518)</f>
        <v>mww</v>
      </c>
      <c r="W518" s="5" t="str">
        <f aca="false">IF(COUNTIFS($A$2:$A$1001,A518,$C$2:$C$1001,C518)&gt;1,"Duplicate","Unique")</f>
        <v>Unique</v>
      </c>
    </row>
    <row r="519" customFormat="false" ht="15" hidden="false" customHeight="false" outlineLevel="0" collapsed="false">
      <c r="A519" s="2" t="s">
        <v>1401</v>
      </c>
      <c r="B519" s="3" t="n">
        <v>7.2</v>
      </c>
      <c r="C519" s="2" t="s">
        <v>1402</v>
      </c>
      <c r="D519" s="2" t="n">
        <v>8</v>
      </c>
      <c r="E519" s="2" t="n">
        <v>7</v>
      </c>
      <c r="F519" s="2"/>
      <c r="G519" s="2" t="n">
        <v>0</v>
      </c>
      <c r="H519" s="2" t="n">
        <v>1054</v>
      </c>
      <c r="I519" s="2" t="s">
        <v>26</v>
      </c>
      <c r="J519" s="2" t="n">
        <v>397</v>
      </c>
      <c r="K519" s="2" t="n">
        <v>0</v>
      </c>
      <c r="L519" s="2" t="n">
        <v>30.1</v>
      </c>
      <c r="M519" s="2" t="s">
        <v>27</v>
      </c>
      <c r="N519" s="3" t="n">
        <v>24</v>
      </c>
      <c r="O519" s="3" t="n">
        <v>-38.355</v>
      </c>
      <c r="P519" s="3" t="n">
        <v>-73.326</v>
      </c>
      <c r="Q519" s="3" t="s">
        <v>1403</v>
      </c>
      <c r="R519" s="2" t="s">
        <v>37</v>
      </c>
      <c r="S519" s="2" t="s">
        <v>377</v>
      </c>
      <c r="T519" s="4" t="n">
        <f aca="false">DATE(VALUE(MID(C519,7,4)),VALUE(MID(C519,4,2)),VALUE(MID(C519,1,2)))+TIME(VALUE(MID(C519,12,2)),VALUE(MID(C519,15,2)),0)</f>
        <v>40545.8472222222</v>
      </c>
      <c r="U519" s="2" t="str">
        <f aca="false">IF(AND(ISNUMBER(VALUE(MID(A519,7,1))),ISNUMBER(SEARCH("km",A519)),ISNUMBER(SEARCH("of",A519))),"Distance-location","Named-region")</f>
        <v>Named-region</v>
      </c>
      <c r="V519" s="2" t="str">
        <f aca="false">LOWER(M519)</f>
        <v>mww</v>
      </c>
      <c r="W519" s="5" t="str">
        <f aca="false">IF(COUNTIFS($A$2:$A$1001,A519,$C$2:$C$1001,C519)&gt;1,"Duplicate","Unique")</f>
        <v>Unique</v>
      </c>
    </row>
    <row r="520" customFormat="false" ht="15" hidden="false" customHeight="false" outlineLevel="0" collapsed="false">
      <c r="A520" s="2" t="s">
        <v>1404</v>
      </c>
      <c r="B520" s="3" t="n">
        <v>7.3</v>
      </c>
      <c r="C520" s="2" t="s">
        <v>1405</v>
      </c>
      <c r="D520" s="2" t="n">
        <v>0</v>
      </c>
      <c r="E520" s="2" t="n">
        <v>5</v>
      </c>
      <c r="F520" s="2"/>
      <c r="G520" s="2" t="n">
        <v>0</v>
      </c>
      <c r="H520" s="2" t="n">
        <v>820</v>
      </c>
      <c r="I520" s="2" t="s">
        <v>26</v>
      </c>
      <c r="J520" s="2" t="n">
        <v>409</v>
      </c>
      <c r="K520" s="2" t="n">
        <v>0</v>
      </c>
      <c r="L520" s="2" t="n">
        <v>12</v>
      </c>
      <c r="M520" s="2" t="s">
        <v>131</v>
      </c>
      <c r="N520" s="3" t="n">
        <v>16</v>
      </c>
      <c r="O520" s="3" t="n">
        <v>-19.702</v>
      </c>
      <c r="P520" s="3" t="n">
        <v>167.947</v>
      </c>
      <c r="Q520" s="3" t="s">
        <v>181</v>
      </c>
      <c r="R520" s="2"/>
      <c r="S520" s="2"/>
      <c r="T520" s="4" t="n">
        <f aca="false">DATE(VALUE(MID(C520,7,4)),VALUE(MID(C520,4,2)),VALUE(MID(C520,1,2)))+TIME(VALUE(MID(C520,12,2)),VALUE(MID(C520,15,2)),0)</f>
        <v>40537.5527777778</v>
      </c>
      <c r="U520" s="2" t="str">
        <f aca="false">IF(AND(ISNUMBER(VALUE(MID(A520,7,1))),ISNUMBER(SEARCH("km",A520)),ISNUMBER(SEARCH("of",A520))),"Distance-location","Named-region")</f>
        <v>Named-region</v>
      </c>
      <c r="V520" s="2" t="str">
        <f aca="false">LOWER(M520)</f>
        <v>mwc</v>
      </c>
      <c r="W520" s="5" t="str">
        <f aca="false">IF(COUNTIFS($A$2:$A$1001,A520,$C$2:$C$1001,C520)&gt;1,"Duplicate","Unique")</f>
        <v>Unique</v>
      </c>
    </row>
    <row r="521" customFormat="false" ht="15" hidden="false" customHeight="false" outlineLevel="0" collapsed="false">
      <c r="A521" s="2" t="s">
        <v>1406</v>
      </c>
      <c r="B521" s="3" t="n">
        <v>6.7</v>
      </c>
      <c r="C521" s="2" t="s">
        <v>1407</v>
      </c>
      <c r="D521" s="2" t="n">
        <v>3</v>
      </c>
      <c r="E521" s="2" t="n">
        <v>7</v>
      </c>
      <c r="F521" s="2"/>
      <c r="G521" s="2" t="n">
        <v>0</v>
      </c>
      <c r="H521" s="2" t="n">
        <v>708</v>
      </c>
      <c r="I521" s="2" t="s">
        <v>26</v>
      </c>
      <c r="J521" s="2" t="n">
        <v>279</v>
      </c>
      <c r="K521" s="2" t="n">
        <v>0</v>
      </c>
      <c r="L521" s="2" t="n">
        <v>24.3</v>
      </c>
      <c r="M521" s="2" t="s">
        <v>131</v>
      </c>
      <c r="N521" s="3" t="n">
        <v>12</v>
      </c>
      <c r="O521" s="3" t="n">
        <v>28.412</v>
      </c>
      <c r="P521" s="3" t="n">
        <v>59.18</v>
      </c>
      <c r="Q521" s="3" t="s">
        <v>1408</v>
      </c>
      <c r="R521" s="2" t="s">
        <v>84</v>
      </c>
      <c r="S521" s="2" t="s">
        <v>664</v>
      </c>
      <c r="T521" s="4" t="n">
        <f aca="false">DATE(VALUE(MID(C521,7,4)),VALUE(MID(C521,4,2)),VALUE(MID(C521,1,2)))+TIME(VALUE(MID(C521,12,2)),VALUE(MID(C521,15,2)),0)</f>
        <v>40532.7784722222</v>
      </c>
      <c r="U521" s="2" t="str">
        <f aca="false">IF(AND(ISNUMBER(VALUE(MID(A521,7,1))),ISNUMBER(SEARCH("km",A521)),ISNUMBER(SEARCH("of",A521))),"Distance-location","Named-region")</f>
        <v>Named-region</v>
      </c>
      <c r="V521" s="2" t="str">
        <f aca="false">LOWER(M521)</f>
        <v>mwc</v>
      </c>
      <c r="W521" s="5" t="str">
        <f aca="false">IF(COUNTIFS($A$2:$A$1001,A521,$C$2:$C$1001,C521)&gt;1,"Duplicate","Unique")</f>
        <v>Unique</v>
      </c>
    </row>
    <row r="522" customFormat="false" ht="15" hidden="false" customHeight="false" outlineLevel="0" collapsed="false">
      <c r="A522" s="2" t="s">
        <v>1409</v>
      </c>
      <c r="B522" s="3" t="n">
        <v>6.6</v>
      </c>
      <c r="C522" s="2" t="s">
        <v>1410</v>
      </c>
      <c r="D522" s="2" t="n">
        <v>0</v>
      </c>
      <c r="E522" s="2" t="n">
        <v>6</v>
      </c>
      <c r="F522" s="2"/>
      <c r="G522" s="2" t="n">
        <v>0</v>
      </c>
      <c r="H522" s="2" t="n">
        <v>670</v>
      </c>
      <c r="I522" s="2" t="s">
        <v>26</v>
      </c>
      <c r="J522" s="2" t="n">
        <v>306</v>
      </c>
      <c r="K522" s="2" t="n">
        <v>0</v>
      </c>
      <c r="L522" s="2" t="n">
        <v>18.5</v>
      </c>
      <c r="M522" s="2" t="s">
        <v>158</v>
      </c>
      <c r="N522" s="3" t="n">
        <v>33</v>
      </c>
      <c r="O522" s="3" t="n">
        <v>-6.001</v>
      </c>
      <c r="P522" s="3" t="n">
        <v>149.977</v>
      </c>
      <c r="Q522" s="3" t="s">
        <v>793</v>
      </c>
      <c r="R522" s="2"/>
      <c r="S522" s="2" t="s">
        <v>89</v>
      </c>
      <c r="T522" s="4" t="n">
        <f aca="false">DATE(VALUE(MID(C522,7,4)),VALUE(MID(C522,4,2)),VALUE(MID(C522,1,2)))+TIME(VALUE(MID(C522,12,2)),VALUE(MID(C522,15,2)),0)</f>
        <v>40514.1333333333</v>
      </c>
      <c r="U522" s="2" t="str">
        <f aca="false">IF(AND(ISNUMBER(VALUE(MID(A522,7,1))),ISNUMBER(SEARCH("km",A522)),ISNUMBER(SEARCH("of",A522))),"Distance-location","Named-region")</f>
        <v>Named-region</v>
      </c>
      <c r="V522" s="2" t="str">
        <f aca="false">LOWER(M522)</f>
        <v>mwb</v>
      </c>
      <c r="W522" s="5" t="str">
        <f aca="false">IF(COUNTIFS($A$2:$A$1001,A522,$C$2:$C$1001,C522)&gt;1,"Duplicate","Unique")</f>
        <v>Unique</v>
      </c>
    </row>
    <row r="523" customFormat="false" ht="15" hidden="false" customHeight="false" outlineLevel="0" collapsed="false">
      <c r="A523" s="2" t="s">
        <v>1411</v>
      </c>
      <c r="B523" s="3" t="n">
        <v>7.8</v>
      </c>
      <c r="C523" s="2" t="s">
        <v>1412</v>
      </c>
      <c r="D523" s="2" t="n">
        <v>4</v>
      </c>
      <c r="E523" s="2" t="n">
        <v>7</v>
      </c>
      <c r="F523" s="2"/>
      <c r="G523" s="2" t="n">
        <v>0</v>
      </c>
      <c r="H523" s="2" t="n">
        <v>946</v>
      </c>
      <c r="I523" s="2" t="s">
        <v>26</v>
      </c>
      <c r="J523" s="2" t="n">
        <v>379</v>
      </c>
      <c r="K523" s="2" t="n">
        <v>0</v>
      </c>
      <c r="L523" s="2" t="n">
        <v>23</v>
      </c>
      <c r="M523" s="2" t="s">
        <v>131</v>
      </c>
      <c r="N523" s="3" t="n">
        <v>20.1</v>
      </c>
      <c r="O523" s="3" t="n">
        <v>-3.487</v>
      </c>
      <c r="P523" s="3" t="n">
        <v>100.082</v>
      </c>
      <c r="Q523" s="3" t="s">
        <v>813</v>
      </c>
      <c r="R523" s="2"/>
      <c r="S523" s="2"/>
      <c r="T523" s="4" t="n">
        <f aca="false">DATE(VALUE(MID(C523,7,4)),VALUE(MID(C523,4,2)),VALUE(MID(C523,1,2)))+TIME(VALUE(MID(C523,12,2)),VALUE(MID(C523,15,2)),0)</f>
        <v>40476.6125</v>
      </c>
      <c r="U523" s="2" t="str">
        <f aca="false">IF(AND(ISNUMBER(VALUE(MID(A523,7,1))),ISNUMBER(SEARCH("km",A523)),ISNUMBER(SEARCH("of",A523))),"Distance-location","Named-region")</f>
        <v>Named-region</v>
      </c>
      <c r="V523" s="2" t="str">
        <f aca="false">LOWER(M523)</f>
        <v>mwc</v>
      </c>
      <c r="W523" s="5" t="str">
        <f aca="false">IF(COUNTIFS($A$2:$A$1001,A523,$C$2:$C$1001,C523)&gt;1,"Duplicate","Unique")</f>
        <v>Unique</v>
      </c>
    </row>
    <row r="524" customFormat="false" ht="15" hidden="false" customHeight="false" outlineLevel="0" collapsed="false">
      <c r="A524" s="2" t="s">
        <v>1413</v>
      </c>
      <c r="B524" s="3" t="n">
        <v>6.7</v>
      </c>
      <c r="C524" s="2" t="s">
        <v>1414</v>
      </c>
      <c r="D524" s="2" t="n">
        <v>5</v>
      </c>
      <c r="E524" s="2" t="n">
        <v>5</v>
      </c>
      <c r="F524" s="2"/>
      <c r="G524" s="2" t="n">
        <v>0</v>
      </c>
      <c r="H524" s="2" t="n">
        <v>776</v>
      </c>
      <c r="I524" s="2" t="s">
        <v>26</v>
      </c>
      <c r="J524" s="2" t="n">
        <v>352</v>
      </c>
      <c r="K524" s="2" t="n">
        <v>0</v>
      </c>
      <c r="L524" s="2" t="n">
        <v>50.3</v>
      </c>
      <c r="M524" s="2" t="s">
        <v>131</v>
      </c>
      <c r="N524" s="3" t="n">
        <v>13</v>
      </c>
      <c r="O524" s="3" t="n">
        <v>24.696</v>
      </c>
      <c r="P524" s="3" t="n">
        <v>-109.156</v>
      </c>
      <c r="Q524" s="3" t="s">
        <v>1415</v>
      </c>
      <c r="R524" s="2"/>
      <c r="S524" s="2"/>
      <c r="T524" s="4" t="n">
        <f aca="false">DATE(VALUE(MID(C524,7,4)),VALUE(MID(C524,4,2)),VALUE(MID(C524,1,2)))+TIME(VALUE(MID(C524,12,2)),VALUE(MID(C524,15,2)),0)</f>
        <v>40472.7451388889</v>
      </c>
      <c r="U524" s="2" t="str">
        <f aca="false">IF(AND(ISNUMBER(VALUE(MID(A524,7,1))),ISNUMBER(SEARCH("km",A524)),ISNUMBER(SEARCH("of",A524))),"Distance-location","Named-region")</f>
        <v>Named-region</v>
      </c>
      <c r="V524" s="2" t="str">
        <f aca="false">LOWER(M524)</f>
        <v>mwc</v>
      </c>
      <c r="W524" s="5" t="str">
        <f aca="false">IF(COUNTIFS($A$2:$A$1001,A524,$C$2:$C$1001,C524)&gt;1,"Duplicate","Unique")</f>
        <v>Unique</v>
      </c>
    </row>
    <row r="525" customFormat="false" ht="15" hidden="false" customHeight="false" outlineLevel="0" collapsed="false">
      <c r="A525" s="2" t="s">
        <v>1416</v>
      </c>
      <c r="B525" s="3" t="n">
        <v>7</v>
      </c>
      <c r="C525" s="2" t="s">
        <v>1417</v>
      </c>
      <c r="D525" s="2" t="n">
        <v>8</v>
      </c>
      <c r="E525" s="2" t="n">
        <v>5</v>
      </c>
      <c r="F525" s="2"/>
      <c r="G525" s="2" t="n">
        <v>0</v>
      </c>
      <c r="H525" s="2" t="n">
        <v>772</v>
      </c>
      <c r="I525" s="2" t="s">
        <v>26</v>
      </c>
      <c r="J525" s="2" t="n">
        <v>271</v>
      </c>
      <c r="K525" s="2" t="n">
        <v>0</v>
      </c>
      <c r="L525" s="2" t="n">
        <v>15.1</v>
      </c>
      <c r="M525" s="2" t="s">
        <v>131</v>
      </c>
      <c r="N525" s="3" t="n">
        <v>26</v>
      </c>
      <c r="O525" s="3" t="n">
        <v>-4.963</v>
      </c>
      <c r="P525" s="3" t="n">
        <v>133.76</v>
      </c>
      <c r="Q525" s="3" t="s">
        <v>1418</v>
      </c>
      <c r="R525" s="2"/>
      <c r="S525" s="2" t="s">
        <v>72</v>
      </c>
      <c r="T525" s="4" t="n">
        <f aca="false">DATE(VALUE(MID(C525,7,4)),VALUE(MID(C525,4,2)),VALUE(MID(C525,1,2)))+TIME(VALUE(MID(C525,12,2)),VALUE(MID(C525,15,2)),0)</f>
        <v>40450.7159722222</v>
      </c>
      <c r="U525" s="2" t="str">
        <f aca="false">IF(AND(ISNUMBER(VALUE(MID(A525,7,1))),ISNUMBER(SEARCH("km",A525)),ISNUMBER(SEARCH("of",A525))),"Distance-location","Named-region")</f>
        <v>Named-region</v>
      </c>
      <c r="V525" s="2" t="str">
        <f aca="false">LOWER(M525)</f>
        <v>mwc</v>
      </c>
      <c r="W525" s="5" t="str">
        <f aca="false">IF(COUNTIFS($A$2:$A$1001,A525,$C$2:$C$1001,C525)&gt;1,"Duplicate","Unique")</f>
        <v>Unique</v>
      </c>
    </row>
    <row r="526" customFormat="false" ht="15" hidden="false" customHeight="false" outlineLevel="0" collapsed="false">
      <c r="A526" s="2" t="s">
        <v>1419</v>
      </c>
      <c r="B526" s="3" t="n">
        <v>7</v>
      </c>
      <c r="C526" s="2" t="s">
        <v>1420</v>
      </c>
      <c r="D526" s="2" t="n">
        <v>8</v>
      </c>
      <c r="E526" s="2" t="n">
        <v>8</v>
      </c>
      <c r="F526" s="2"/>
      <c r="G526" s="2" t="n">
        <v>0</v>
      </c>
      <c r="H526" s="2" t="n">
        <v>1245</v>
      </c>
      <c r="I526" s="2" t="s">
        <v>26</v>
      </c>
      <c r="J526" s="2" t="n">
        <v>365</v>
      </c>
      <c r="K526" s="2" t="n">
        <v>0</v>
      </c>
      <c r="L526" s="2" t="n">
        <v>15.8</v>
      </c>
      <c r="M526" s="2" t="s">
        <v>131</v>
      </c>
      <c r="N526" s="3" t="n">
        <v>12</v>
      </c>
      <c r="O526" s="3" t="n">
        <v>-43.522</v>
      </c>
      <c r="P526" s="3" t="n">
        <v>171.83</v>
      </c>
      <c r="Q526" s="3" t="s">
        <v>1421</v>
      </c>
      <c r="R526" s="2"/>
      <c r="S526" s="2" t="s">
        <v>778</v>
      </c>
      <c r="T526" s="4" t="n">
        <f aca="false">DATE(VALUE(MID(C526,7,4)),VALUE(MID(C526,4,2)),VALUE(MID(C526,1,2)))+TIME(VALUE(MID(C526,12,2)),VALUE(MID(C526,15,2)),0)</f>
        <v>40424.6909722222</v>
      </c>
      <c r="U526" s="2" t="str">
        <f aca="false">IF(AND(ISNUMBER(VALUE(MID(A526,7,1))),ISNUMBER(SEARCH("km",A526)),ISNUMBER(SEARCH("of",A526))),"Distance-location","Named-region")</f>
        <v>Named-region</v>
      </c>
      <c r="V526" s="2" t="str">
        <f aca="false">LOWER(M526)</f>
        <v>mwc</v>
      </c>
      <c r="W526" s="5" t="str">
        <f aca="false">IF(COUNTIFS($A$2:$A$1001,A526,$C$2:$C$1001,C526)&gt;1,"Duplicate","Unique")</f>
        <v>Unique</v>
      </c>
    </row>
    <row r="527" customFormat="false" ht="15" hidden="false" customHeight="false" outlineLevel="0" collapsed="false">
      <c r="A527" s="2" t="s">
        <v>1422</v>
      </c>
      <c r="B527" s="3" t="n">
        <v>7.1</v>
      </c>
      <c r="C527" s="2" t="s">
        <v>1423</v>
      </c>
      <c r="D527" s="2" t="n">
        <v>6</v>
      </c>
      <c r="E527" s="2" t="n">
        <v>5</v>
      </c>
      <c r="F527" s="2"/>
      <c r="G527" s="2" t="n">
        <v>0</v>
      </c>
      <c r="H527" s="2" t="n">
        <v>945</v>
      </c>
      <c r="I527" s="2" t="s">
        <v>26</v>
      </c>
      <c r="J527" s="2" t="n">
        <v>672</v>
      </c>
      <c r="K527" s="2" t="n">
        <v>0</v>
      </c>
      <c r="L527" s="2" t="n">
        <v>12.4</v>
      </c>
      <c r="M527" s="2" t="s">
        <v>131</v>
      </c>
      <c r="N527" s="3" t="n">
        <v>206.7</v>
      </c>
      <c r="O527" s="3" t="n">
        <v>-1.266</v>
      </c>
      <c r="P527" s="3" t="n">
        <v>-77.306</v>
      </c>
      <c r="Q527" s="3" t="s">
        <v>100</v>
      </c>
      <c r="R527" s="2" t="s">
        <v>37</v>
      </c>
      <c r="S527" s="2" t="s">
        <v>100</v>
      </c>
      <c r="T527" s="4" t="n">
        <f aca="false">DATE(VALUE(MID(C527,7,4)),VALUE(MID(C527,4,2)),VALUE(MID(C527,1,2)))+TIME(VALUE(MID(C527,12,2)),VALUE(MID(C527,15,2)),0)</f>
        <v>40402.4958333333</v>
      </c>
      <c r="U527" s="2" t="str">
        <f aca="false">IF(AND(ISNUMBER(VALUE(MID(A527,7,1))),ISNUMBER(SEARCH("km",A527)),ISNUMBER(SEARCH("of",A527))),"Distance-location","Named-region")</f>
        <v>Named-region</v>
      </c>
      <c r="V527" s="2" t="str">
        <f aca="false">LOWER(M527)</f>
        <v>mwc</v>
      </c>
      <c r="W527" s="5" t="str">
        <f aca="false">IF(COUNTIFS($A$2:$A$1001,A527,$C$2:$C$1001,C527)&gt;1,"Duplicate","Unique")</f>
        <v>Unique</v>
      </c>
    </row>
    <row r="528" customFormat="false" ht="15" hidden="false" customHeight="false" outlineLevel="0" collapsed="false">
      <c r="A528" s="2" t="s">
        <v>1424</v>
      </c>
      <c r="B528" s="3" t="n">
        <v>7.3</v>
      </c>
      <c r="C528" s="2" t="s">
        <v>1425</v>
      </c>
      <c r="D528" s="2" t="n">
        <v>7</v>
      </c>
      <c r="E528" s="2" t="n">
        <v>7</v>
      </c>
      <c r="F528" s="2"/>
      <c r="G528" s="2" t="n">
        <v>0</v>
      </c>
      <c r="H528" s="2" t="n">
        <v>850</v>
      </c>
      <c r="I528" s="2" t="s">
        <v>26</v>
      </c>
      <c r="J528" s="2" t="n">
        <v>405</v>
      </c>
      <c r="K528" s="2" t="n">
        <v>0</v>
      </c>
      <c r="L528" s="2" t="n">
        <v>20.2</v>
      </c>
      <c r="M528" s="2" t="s">
        <v>131</v>
      </c>
      <c r="N528" s="3" t="n">
        <v>25</v>
      </c>
      <c r="O528" s="3" t="n">
        <v>-17.541</v>
      </c>
      <c r="P528" s="3" t="n">
        <v>168.069</v>
      </c>
      <c r="Q528" s="3" t="s">
        <v>993</v>
      </c>
      <c r="R528" s="2"/>
      <c r="S528" s="2" t="s">
        <v>29</v>
      </c>
      <c r="T528" s="4" t="n">
        <f aca="false">DATE(VALUE(MID(C528,7,4)),VALUE(MID(C528,4,2)),VALUE(MID(C528,1,2)))+TIME(VALUE(MID(C528,12,2)),VALUE(MID(C528,15,2)),0)</f>
        <v>40400.2243055556</v>
      </c>
      <c r="U528" s="2" t="str">
        <f aca="false">IF(AND(ISNUMBER(VALUE(MID(A528,7,1))),ISNUMBER(SEARCH("km",A528)),ISNUMBER(SEARCH("of",A528))),"Distance-location","Named-region")</f>
        <v>Named-region</v>
      </c>
      <c r="V528" s="2" t="str">
        <f aca="false">LOWER(M528)</f>
        <v>mwc</v>
      </c>
      <c r="W528" s="5" t="str">
        <f aca="false">IF(COUNTIFS($A$2:$A$1001,A528,$C$2:$C$1001,C528)&gt;1,"Duplicate","Unique")</f>
        <v>Unique</v>
      </c>
    </row>
    <row r="529" customFormat="false" ht="15" hidden="false" customHeight="false" outlineLevel="0" collapsed="false">
      <c r="A529" s="2" t="s">
        <v>1426</v>
      </c>
      <c r="B529" s="3" t="n">
        <v>7</v>
      </c>
      <c r="C529" s="2" t="s">
        <v>1427</v>
      </c>
      <c r="D529" s="2" t="n">
        <v>4</v>
      </c>
      <c r="E529" s="2" t="n">
        <v>6</v>
      </c>
      <c r="F529" s="2"/>
      <c r="G529" s="2" t="n">
        <v>0</v>
      </c>
      <c r="H529" s="2" t="n">
        <v>757</v>
      </c>
      <c r="I529" s="2" t="s">
        <v>26</v>
      </c>
      <c r="J529" s="2" t="n">
        <v>396</v>
      </c>
      <c r="K529" s="2" t="n">
        <v>0</v>
      </c>
      <c r="L529" s="2" t="n">
        <v>12.7</v>
      </c>
      <c r="M529" s="2" t="s">
        <v>27</v>
      </c>
      <c r="N529" s="3" t="n">
        <v>44</v>
      </c>
      <c r="O529" s="3" t="n">
        <v>-5.746</v>
      </c>
      <c r="P529" s="3" t="n">
        <v>150.765</v>
      </c>
      <c r="Q529" s="3" t="s">
        <v>111</v>
      </c>
      <c r="R529" s="2"/>
      <c r="S529" s="2" t="s">
        <v>89</v>
      </c>
      <c r="T529" s="4" t="n">
        <f aca="false">DATE(VALUE(MID(C529,7,4)),VALUE(MID(C529,4,2)),VALUE(MID(C529,1,2)))+TIME(VALUE(MID(C529,12,2)),VALUE(MID(C529,15,2)),0)</f>
        <v>40394.9173611111</v>
      </c>
      <c r="U529" s="2" t="str">
        <f aca="false">IF(AND(ISNUMBER(VALUE(MID(A529,7,1))),ISNUMBER(SEARCH("km",A529)),ISNUMBER(SEARCH("of",A529))),"Distance-location","Named-region")</f>
        <v>Named-region</v>
      </c>
      <c r="V529" s="2" t="str">
        <f aca="false">LOWER(M529)</f>
        <v>mww</v>
      </c>
      <c r="W529" s="5" t="str">
        <f aca="false">IF(COUNTIFS($A$2:$A$1001,A529,$C$2:$C$1001,C529)&gt;1,"Duplicate","Unique")</f>
        <v>Unique</v>
      </c>
    </row>
    <row r="530" customFormat="false" ht="15" hidden="false" customHeight="false" outlineLevel="0" collapsed="false">
      <c r="A530" s="2" t="s">
        <v>1428</v>
      </c>
      <c r="B530" s="3" t="n">
        <v>6.5</v>
      </c>
      <c r="C530" s="2" t="s">
        <v>1429</v>
      </c>
      <c r="D530" s="2" t="n">
        <v>5</v>
      </c>
      <c r="E530" s="2" t="n">
        <v>4</v>
      </c>
      <c r="F530" s="2"/>
      <c r="G530" s="2" t="n">
        <v>0</v>
      </c>
      <c r="H530" s="2" t="n">
        <v>659</v>
      </c>
      <c r="I530" s="2" t="s">
        <v>26</v>
      </c>
      <c r="J530" s="2" t="n">
        <v>403</v>
      </c>
      <c r="K530" s="2" t="n">
        <v>0</v>
      </c>
      <c r="L530" s="2" t="n">
        <v>11.1</v>
      </c>
      <c r="M530" s="2" t="s">
        <v>131</v>
      </c>
      <c r="N530" s="3" t="n">
        <v>220</v>
      </c>
      <c r="O530" s="3" t="n">
        <v>-5.486</v>
      </c>
      <c r="P530" s="3" t="n">
        <v>146.822</v>
      </c>
      <c r="Q530" s="3" t="s">
        <v>1430</v>
      </c>
      <c r="R530" s="2"/>
      <c r="S530" s="2" t="s">
        <v>89</v>
      </c>
      <c r="T530" s="4" t="n">
        <f aca="false">DATE(VALUE(MID(C530,7,4)),VALUE(MID(C530,4,2)),VALUE(MID(C530,1,2)))+TIME(VALUE(MID(C530,12,2)),VALUE(MID(C530,15,2)),0)</f>
        <v>40394.3020833333</v>
      </c>
      <c r="U530" s="2" t="str">
        <f aca="false">IF(AND(ISNUMBER(VALUE(MID(A530,7,1))),ISNUMBER(SEARCH("km",A530)),ISNUMBER(SEARCH("of",A530))),"Distance-location","Named-region")</f>
        <v>Named-region</v>
      </c>
      <c r="V530" s="2" t="str">
        <f aca="false">LOWER(M530)</f>
        <v>mwc</v>
      </c>
      <c r="W530" s="5" t="str">
        <f aca="false">IF(COUNTIFS($A$2:$A$1001,A530,$C$2:$C$1001,C530)&gt;1,"Duplicate","Unique")</f>
        <v>Unique</v>
      </c>
    </row>
    <row r="531" customFormat="false" ht="15" hidden="false" customHeight="false" outlineLevel="0" collapsed="false">
      <c r="A531" s="2" t="s">
        <v>1431</v>
      </c>
      <c r="B531" s="3" t="n">
        <v>7.6</v>
      </c>
      <c r="C531" s="2" t="s">
        <v>1432</v>
      </c>
      <c r="D531" s="2" t="n">
        <v>5</v>
      </c>
      <c r="E531" s="2" t="n">
        <v>3</v>
      </c>
      <c r="F531" s="2"/>
      <c r="G531" s="2" t="n">
        <v>0</v>
      </c>
      <c r="H531" s="2" t="n">
        <v>902</v>
      </c>
      <c r="I531" s="2" t="s">
        <v>26</v>
      </c>
      <c r="J531" s="2" t="n">
        <v>340</v>
      </c>
      <c r="K531" s="2" t="n">
        <v>0</v>
      </c>
      <c r="L531" s="2" t="n">
        <v>15.1</v>
      </c>
      <c r="M531" s="2" t="s">
        <v>131</v>
      </c>
      <c r="N531" s="3" t="n">
        <v>578</v>
      </c>
      <c r="O531" s="3" t="n">
        <v>6.497</v>
      </c>
      <c r="P531" s="3" t="n">
        <v>123.48</v>
      </c>
      <c r="Q531" s="3" t="s">
        <v>1433</v>
      </c>
      <c r="R531" s="2"/>
      <c r="S531" s="2" t="s">
        <v>195</v>
      </c>
      <c r="T531" s="4" t="n">
        <f aca="false">DATE(VALUE(MID(C531,7,4)),VALUE(MID(C531,4,2)),VALUE(MID(C531,1,2)))+TIME(VALUE(MID(C531,12,2)),VALUE(MID(C531,15,2)),0)</f>
        <v>40382.9520833333</v>
      </c>
      <c r="U531" s="2" t="str">
        <f aca="false">IF(AND(ISNUMBER(VALUE(MID(A531,7,1))),ISNUMBER(SEARCH("km",A531)),ISNUMBER(SEARCH("of",A531))),"Distance-location","Named-region")</f>
        <v>Named-region</v>
      </c>
      <c r="V531" s="2" t="str">
        <f aca="false">LOWER(M531)</f>
        <v>mwc</v>
      </c>
      <c r="W531" s="5" t="str">
        <f aca="false">IF(COUNTIFS($A$2:$A$1001,A531,$C$2:$C$1001,C531)&gt;1,"Duplicate","Unique")</f>
        <v>Unique</v>
      </c>
    </row>
    <row r="532" customFormat="false" ht="28.35" hidden="false" customHeight="false" outlineLevel="0" collapsed="false">
      <c r="A532" s="2" t="s">
        <v>1434</v>
      </c>
      <c r="B532" s="3" t="n">
        <v>7.3</v>
      </c>
      <c r="C532" s="2" t="s">
        <v>1435</v>
      </c>
      <c r="D532" s="2" t="n">
        <v>8</v>
      </c>
      <c r="E532" s="2" t="n">
        <v>7</v>
      </c>
      <c r="F532" s="2"/>
      <c r="G532" s="2" t="n">
        <v>0</v>
      </c>
      <c r="H532" s="2" t="n">
        <v>831</v>
      </c>
      <c r="I532" s="2" t="s">
        <v>26</v>
      </c>
      <c r="J532" s="2" t="n">
        <v>397</v>
      </c>
      <c r="K532" s="2" t="n">
        <v>0</v>
      </c>
      <c r="L532" s="2" t="n">
        <v>18.2</v>
      </c>
      <c r="M532" s="2" t="s">
        <v>131</v>
      </c>
      <c r="N532" s="3" t="n">
        <v>35</v>
      </c>
      <c r="O532" s="3" t="n">
        <v>-5.931</v>
      </c>
      <c r="P532" s="3" t="n">
        <v>150.59</v>
      </c>
      <c r="Q532" s="3" t="s">
        <v>1436</v>
      </c>
      <c r="R532" s="2"/>
      <c r="S532" s="2" t="s">
        <v>89</v>
      </c>
      <c r="T532" s="4" t="n">
        <f aca="false">DATE(VALUE(MID(C532,7,4)),VALUE(MID(C532,4,2)),VALUE(MID(C532,1,2)))+TIME(VALUE(MID(C532,12,2)),VALUE(MID(C532,15,2)),0)</f>
        <v>40377.5652777778</v>
      </c>
      <c r="U532" s="2" t="str">
        <f aca="false">IF(AND(ISNUMBER(VALUE(MID(A532,7,1))),ISNUMBER(SEARCH("km",A532)),ISNUMBER(SEARCH("of",A532))),"Distance-location","Named-region")</f>
        <v>Named-region</v>
      </c>
      <c r="V532" s="2" t="str">
        <f aca="false">LOWER(M532)</f>
        <v>mwc</v>
      </c>
      <c r="W532" s="5" t="str">
        <f aca="false">IF(COUNTIFS($A$2:$A$1001,A532,$C$2:$C$1001,C532)&gt;1,"Duplicate","Unique")</f>
        <v>Unique</v>
      </c>
    </row>
    <row r="533" customFormat="false" ht="15" hidden="false" customHeight="false" outlineLevel="0" collapsed="false">
      <c r="A533" s="2" t="s">
        <v>1437</v>
      </c>
      <c r="B533" s="3" t="n">
        <v>6.9</v>
      </c>
      <c r="C533" s="2" t="s">
        <v>1438</v>
      </c>
      <c r="D533" s="2" t="n">
        <v>4</v>
      </c>
      <c r="E533" s="2" t="n">
        <v>7</v>
      </c>
      <c r="F533" s="2"/>
      <c r="G533" s="2" t="n">
        <v>0</v>
      </c>
      <c r="H533" s="2" t="n">
        <v>737</v>
      </c>
      <c r="I533" s="2" t="s">
        <v>26</v>
      </c>
      <c r="J533" s="2" t="n">
        <v>456</v>
      </c>
      <c r="K533" s="2" t="n">
        <v>0</v>
      </c>
      <c r="L533" s="2" t="n">
        <v>15.7</v>
      </c>
      <c r="M533" s="2" t="s">
        <v>131</v>
      </c>
      <c r="N533" s="3" t="n">
        <v>28</v>
      </c>
      <c r="O533" s="3" t="n">
        <v>-5.966</v>
      </c>
      <c r="P533" s="3" t="n">
        <v>150.428</v>
      </c>
      <c r="Q533" s="3" t="s">
        <v>111</v>
      </c>
      <c r="R533" s="2"/>
      <c r="S533" s="2" t="s">
        <v>89</v>
      </c>
      <c r="T533" s="4" t="n">
        <f aca="false">DATE(VALUE(MID(C533,7,4)),VALUE(MID(C533,4,2)),VALUE(MID(C533,1,2)))+TIME(VALUE(MID(C533,12,2)),VALUE(MID(C533,15,2)),0)</f>
        <v>40377.5444444444</v>
      </c>
      <c r="U533" s="2" t="str">
        <f aca="false">IF(AND(ISNUMBER(VALUE(MID(A533,7,1))),ISNUMBER(SEARCH("km",A533)),ISNUMBER(SEARCH("of",A533))),"Distance-location","Named-region")</f>
        <v>Named-region</v>
      </c>
      <c r="V533" s="2" t="str">
        <f aca="false">LOWER(M533)</f>
        <v>mwc</v>
      </c>
      <c r="W533" s="5" t="str">
        <f aca="false">IF(COUNTIFS($A$2:$A$1001,A533,$C$2:$C$1001,C533)&gt;1,"Duplicate","Unique")</f>
        <v>Unique</v>
      </c>
    </row>
    <row r="534" customFormat="false" ht="15" hidden="false" customHeight="false" outlineLevel="0" collapsed="false">
      <c r="A534" s="2" t="s">
        <v>1439</v>
      </c>
      <c r="B534" s="3" t="n">
        <v>6.6</v>
      </c>
      <c r="C534" s="2" t="s">
        <v>1440</v>
      </c>
      <c r="D534" s="2" t="n">
        <v>6</v>
      </c>
      <c r="E534" s="2" t="n">
        <v>7</v>
      </c>
      <c r="F534" s="2"/>
      <c r="G534" s="2" t="n">
        <v>0</v>
      </c>
      <c r="H534" s="2" t="n">
        <v>753</v>
      </c>
      <c r="I534" s="2" t="s">
        <v>26</v>
      </c>
      <c r="J534" s="2" t="n">
        <v>295</v>
      </c>
      <c r="K534" s="2" t="n">
        <v>0</v>
      </c>
      <c r="L534" s="2" t="n">
        <v>52.8</v>
      </c>
      <c r="M534" s="2" t="s">
        <v>131</v>
      </c>
      <c r="N534" s="3" t="n">
        <v>22</v>
      </c>
      <c r="O534" s="3" t="n">
        <v>-38.067</v>
      </c>
      <c r="P534" s="3" t="n">
        <v>-73.31</v>
      </c>
      <c r="Q534" s="3" t="s">
        <v>1441</v>
      </c>
      <c r="R534" s="2" t="s">
        <v>37</v>
      </c>
      <c r="S534" s="2" t="s">
        <v>377</v>
      </c>
      <c r="T534" s="4" t="n">
        <f aca="false">DATE(VALUE(MID(C534,7,4)),VALUE(MID(C534,4,2)),VALUE(MID(C534,1,2)))+TIME(VALUE(MID(C534,12,2)),VALUE(MID(C534,15,2)),0)</f>
        <v>40373.3555555556</v>
      </c>
      <c r="U534" s="2" t="str">
        <f aca="false">IF(AND(ISNUMBER(VALUE(MID(A534,7,1))),ISNUMBER(SEARCH("km",A534)),ISNUMBER(SEARCH("of",A534))),"Distance-location","Named-region")</f>
        <v>Named-region</v>
      </c>
      <c r="V534" s="2" t="str">
        <f aca="false">LOWER(M534)</f>
        <v>mwc</v>
      </c>
      <c r="W534" s="5" t="str">
        <f aca="false">IF(COUNTIFS($A$2:$A$1001,A534,$C$2:$C$1001,C534)&gt;1,"Duplicate","Unique")</f>
        <v>Unique</v>
      </c>
    </row>
    <row r="535" customFormat="false" ht="15" hidden="false" customHeight="false" outlineLevel="0" collapsed="false">
      <c r="A535" s="2" t="s">
        <v>1442</v>
      </c>
      <c r="B535" s="3" t="n">
        <v>6.7</v>
      </c>
      <c r="C535" s="2" t="s">
        <v>1443</v>
      </c>
      <c r="D535" s="2" t="n">
        <v>5</v>
      </c>
      <c r="E535" s="2" t="n">
        <v>6</v>
      </c>
      <c r="F535" s="2"/>
      <c r="G535" s="2" t="n">
        <v>0</v>
      </c>
      <c r="H535" s="2" t="n">
        <v>696</v>
      </c>
      <c r="I535" s="2" t="s">
        <v>26</v>
      </c>
      <c r="J535" s="2" t="n">
        <v>392</v>
      </c>
      <c r="K535" s="2" t="n">
        <v>0</v>
      </c>
      <c r="L535" s="2" t="n">
        <v>18.7</v>
      </c>
      <c r="M535" s="2" t="s">
        <v>131</v>
      </c>
      <c r="N535" s="3" t="n">
        <v>35</v>
      </c>
      <c r="O535" s="3" t="n">
        <v>-10.627</v>
      </c>
      <c r="P535" s="3" t="n">
        <v>161.447</v>
      </c>
      <c r="Q535" s="3" t="s">
        <v>585</v>
      </c>
      <c r="R535" s="2"/>
      <c r="S535" s="2" t="s">
        <v>144</v>
      </c>
      <c r="T535" s="4" t="n">
        <f aca="false">DATE(VALUE(MID(C535,7,4)),VALUE(MID(C535,4,2)),VALUE(MID(C535,1,2)))+TIME(VALUE(MID(C535,12,2)),VALUE(MID(C535,15,2)),0)</f>
        <v>40355.2291666667</v>
      </c>
      <c r="U535" s="2" t="str">
        <f aca="false">IF(AND(ISNUMBER(VALUE(MID(A535,7,1))),ISNUMBER(SEARCH("km",A535)),ISNUMBER(SEARCH("of",A535))),"Distance-location","Named-region")</f>
        <v>Named-region</v>
      </c>
      <c r="V535" s="2" t="str">
        <f aca="false">LOWER(M535)</f>
        <v>mwc</v>
      </c>
      <c r="W535" s="5" t="str">
        <f aca="false">IF(COUNTIFS($A$2:$A$1001,A535,$C$2:$C$1001,C535)&gt;1,"Duplicate","Unique")</f>
        <v>Unique</v>
      </c>
    </row>
    <row r="536" customFormat="false" ht="15" hidden="false" customHeight="false" outlineLevel="0" collapsed="false">
      <c r="A536" s="2" t="s">
        <v>1444</v>
      </c>
      <c r="B536" s="3" t="n">
        <v>6.6</v>
      </c>
      <c r="C536" s="2" t="s">
        <v>1445</v>
      </c>
      <c r="D536" s="2" t="n">
        <v>0</v>
      </c>
      <c r="E536" s="2" t="n">
        <v>7</v>
      </c>
      <c r="F536" s="2"/>
      <c r="G536" s="2" t="n">
        <v>0</v>
      </c>
      <c r="H536" s="2" t="n">
        <v>670</v>
      </c>
      <c r="I536" s="2" t="s">
        <v>26</v>
      </c>
      <c r="J536" s="2" t="n">
        <v>309</v>
      </c>
      <c r="K536" s="2" t="n">
        <v>0</v>
      </c>
      <c r="L536" s="2" t="n">
        <v>25</v>
      </c>
      <c r="M536" s="2" t="s">
        <v>131</v>
      </c>
      <c r="N536" s="3" t="n">
        <v>10.5</v>
      </c>
      <c r="O536" s="3" t="n">
        <v>-2.329</v>
      </c>
      <c r="P536" s="3" t="n">
        <v>136.484</v>
      </c>
      <c r="Q536" s="3" t="s">
        <v>1446</v>
      </c>
      <c r="R536" s="2"/>
      <c r="S536" s="2" t="s">
        <v>72</v>
      </c>
      <c r="T536" s="4" t="n">
        <f aca="false">DATE(VALUE(MID(C536,7,4)),VALUE(MID(C536,4,2)),VALUE(MID(C536,1,2)))+TIME(VALUE(MID(C536,12,2)),VALUE(MID(C536,15,2)),0)</f>
        <v>40345.1652777778</v>
      </c>
      <c r="U536" s="2" t="str">
        <f aca="false">IF(AND(ISNUMBER(VALUE(MID(A536,7,1))),ISNUMBER(SEARCH("km",A536)),ISNUMBER(SEARCH("of",A536))),"Distance-location","Named-region")</f>
        <v>Named-region</v>
      </c>
      <c r="V536" s="2" t="str">
        <f aca="false">LOWER(M536)</f>
        <v>mwc</v>
      </c>
      <c r="W536" s="5" t="str">
        <f aca="false">IF(COUNTIFS($A$2:$A$1001,A536,$C$2:$C$1001,C536)&gt;1,"Duplicate","Unique")</f>
        <v>Unique</v>
      </c>
    </row>
    <row r="537" customFormat="false" ht="15" hidden="false" customHeight="false" outlineLevel="0" collapsed="false">
      <c r="A537" s="2" t="s">
        <v>1447</v>
      </c>
      <c r="B537" s="3" t="n">
        <v>7</v>
      </c>
      <c r="C537" s="2" t="s">
        <v>1448</v>
      </c>
      <c r="D537" s="2" t="n">
        <v>3</v>
      </c>
      <c r="E537" s="2" t="n">
        <v>7</v>
      </c>
      <c r="F537" s="2"/>
      <c r="G537" s="2" t="n">
        <v>0</v>
      </c>
      <c r="H537" s="2" t="n">
        <v>755</v>
      </c>
      <c r="I537" s="2" t="s">
        <v>26</v>
      </c>
      <c r="J537" s="2" t="n">
        <v>307</v>
      </c>
      <c r="K537" s="2" t="n">
        <v>0</v>
      </c>
      <c r="L537" s="2" t="n">
        <v>18.1</v>
      </c>
      <c r="M537" s="2" t="s">
        <v>131</v>
      </c>
      <c r="N537" s="3" t="n">
        <v>18</v>
      </c>
      <c r="O537" s="3" t="n">
        <v>-2.174</v>
      </c>
      <c r="P537" s="3" t="n">
        <v>136.543</v>
      </c>
      <c r="Q537" s="3" t="s">
        <v>1446</v>
      </c>
      <c r="R537" s="2"/>
      <c r="S537" s="2" t="s">
        <v>72</v>
      </c>
      <c r="T537" s="4" t="n">
        <f aca="false">DATE(VALUE(MID(C537,7,4)),VALUE(MID(C537,4,2)),VALUE(MID(C537,1,2)))+TIME(VALUE(MID(C537,12,2)),VALUE(MID(C537,15,2)),0)</f>
        <v>40345.1361111111</v>
      </c>
      <c r="U537" s="2" t="str">
        <f aca="false">IF(AND(ISNUMBER(VALUE(MID(A537,7,1))),ISNUMBER(SEARCH("km",A537)),ISNUMBER(SEARCH("of",A537))),"Distance-location","Named-region")</f>
        <v>Named-region</v>
      </c>
      <c r="V537" s="2" t="str">
        <f aca="false">LOWER(M537)</f>
        <v>mwc</v>
      </c>
      <c r="W537" s="5" t="str">
        <f aca="false">IF(COUNTIFS($A$2:$A$1001,A537,$C$2:$C$1001,C537)&gt;1,"Duplicate","Unique")</f>
        <v>Unique</v>
      </c>
    </row>
    <row r="538" customFormat="false" ht="15" hidden="false" customHeight="false" outlineLevel="0" collapsed="false">
      <c r="A538" s="2" t="s">
        <v>1449</v>
      </c>
      <c r="B538" s="3" t="n">
        <v>7.5</v>
      </c>
      <c r="C538" s="2" t="s">
        <v>1450</v>
      </c>
      <c r="D538" s="2" t="n">
        <v>6</v>
      </c>
      <c r="E538" s="2" t="n">
        <v>5</v>
      </c>
      <c r="F538" s="2"/>
      <c r="G538" s="2" t="n">
        <v>0</v>
      </c>
      <c r="H538" s="2" t="n">
        <v>1144</v>
      </c>
      <c r="I538" s="2" t="s">
        <v>26</v>
      </c>
      <c r="J538" s="2" t="n">
        <v>514</v>
      </c>
      <c r="K538" s="2" t="n">
        <v>0</v>
      </c>
      <c r="L538" s="2" t="n">
        <v>18.6</v>
      </c>
      <c r="M538" s="2" t="s">
        <v>131</v>
      </c>
      <c r="N538" s="3" t="n">
        <v>35</v>
      </c>
      <c r="O538" s="3" t="n">
        <v>7.881</v>
      </c>
      <c r="P538" s="3" t="n">
        <v>91.936</v>
      </c>
      <c r="Q538" s="3" t="s">
        <v>894</v>
      </c>
      <c r="R538" s="2"/>
      <c r="S538" s="2"/>
      <c r="T538" s="4" t="n">
        <f aca="false">DATE(VALUE(MID(C538,7,4)),VALUE(MID(C538,4,2)),VALUE(MID(C538,1,2)))+TIME(VALUE(MID(C538,12,2)),VALUE(MID(C538,15,2)),0)</f>
        <v>40341.8097222222</v>
      </c>
      <c r="U538" s="2" t="str">
        <f aca="false">IF(AND(ISNUMBER(VALUE(MID(A538,7,1))),ISNUMBER(SEARCH("km",A538)),ISNUMBER(SEARCH("of",A538))),"Distance-location","Named-region")</f>
        <v>Named-region</v>
      </c>
      <c r="V538" s="2" t="str">
        <f aca="false">LOWER(M538)</f>
        <v>mwc</v>
      </c>
      <c r="W538" s="5" t="str">
        <f aca="false">IF(COUNTIFS($A$2:$A$1001,A538,$C$2:$C$1001,C538)&gt;1,"Duplicate","Unique")</f>
        <v>Unique</v>
      </c>
    </row>
    <row r="539" customFormat="false" ht="15" hidden="false" customHeight="false" outlineLevel="0" collapsed="false">
      <c r="A539" s="2" t="s">
        <v>1451</v>
      </c>
      <c r="B539" s="3" t="n">
        <v>7.2</v>
      </c>
      <c r="C539" s="2" t="s">
        <v>1452</v>
      </c>
      <c r="D539" s="2" t="n">
        <v>5</v>
      </c>
      <c r="E539" s="2" t="n">
        <v>6</v>
      </c>
      <c r="F539" s="2"/>
      <c r="G539" s="2" t="n">
        <v>0</v>
      </c>
      <c r="H539" s="2" t="n">
        <v>804</v>
      </c>
      <c r="I539" s="2" t="s">
        <v>26</v>
      </c>
      <c r="J539" s="2" t="n">
        <v>327</v>
      </c>
      <c r="K539" s="2" t="n">
        <v>0</v>
      </c>
      <c r="L539" s="2" t="n">
        <v>11.7</v>
      </c>
      <c r="M539" s="2" t="s">
        <v>131</v>
      </c>
      <c r="N539" s="3" t="n">
        <v>31</v>
      </c>
      <c r="O539" s="3" t="n">
        <v>-13.698</v>
      </c>
      <c r="P539" s="3" t="n">
        <v>166.643</v>
      </c>
      <c r="Q539" s="3" t="s">
        <v>28</v>
      </c>
      <c r="R539" s="2"/>
      <c r="S539" s="2" t="s">
        <v>29</v>
      </c>
      <c r="T539" s="4" t="n">
        <f aca="false">DATE(VALUE(MID(C539,7,4)),VALUE(MID(C539,4,2)),VALUE(MID(C539,1,2)))+TIME(VALUE(MID(C539,12,2)),VALUE(MID(C539,15,2)),0)</f>
        <v>40325.7180555556</v>
      </c>
      <c r="U539" s="2" t="str">
        <f aca="false">IF(AND(ISNUMBER(VALUE(MID(A539,7,1))),ISNUMBER(SEARCH("km",A539)),ISNUMBER(SEARCH("of",A539))),"Distance-location","Named-region")</f>
        <v>Named-region</v>
      </c>
      <c r="V539" s="2" t="str">
        <f aca="false">LOWER(M539)</f>
        <v>mwc</v>
      </c>
      <c r="W539" s="5" t="str">
        <f aca="false">IF(COUNTIFS($A$2:$A$1001,A539,$C$2:$C$1001,C539)&gt;1,"Duplicate","Unique")</f>
        <v>Unique</v>
      </c>
    </row>
    <row r="540" customFormat="false" ht="15" hidden="false" customHeight="false" outlineLevel="0" collapsed="false">
      <c r="A540" s="2" t="s">
        <v>1453</v>
      </c>
      <c r="B540" s="3" t="n">
        <v>7.2</v>
      </c>
      <c r="C540" s="2" t="s">
        <v>1454</v>
      </c>
      <c r="D540" s="2" t="n">
        <v>5</v>
      </c>
      <c r="E540" s="2" t="n">
        <v>6</v>
      </c>
      <c r="F540" s="2"/>
      <c r="G540" s="2" t="n">
        <v>0</v>
      </c>
      <c r="H540" s="2" t="n">
        <v>918</v>
      </c>
      <c r="I540" s="2" t="s">
        <v>26</v>
      </c>
      <c r="J540" s="2" t="n">
        <v>611</v>
      </c>
      <c r="K540" s="2" t="n">
        <v>0</v>
      </c>
      <c r="L540" s="2" t="n">
        <v>20.6</v>
      </c>
      <c r="M540" s="2" t="s">
        <v>131</v>
      </c>
      <c r="N540" s="3" t="n">
        <v>38</v>
      </c>
      <c r="O540" s="3" t="n">
        <v>3.748</v>
      </c>
      <c r="P540" s="3" t="n">
        <v>96.018</v>
      </c>
      <c r="Q540" s="3" t="s">
        <v>1455</v>
      </c>
      <c r="R540" s="2"/>
      <c r="S540" s="2" t="s">
        <v>72</v>
      </c>
      <c r="T540" s="4" t="n">
        <f aca="false">DATE(VALUE(MID(C540,7,4)),VALUE(MID(C540,4,2)),VALUE(MID(C540,1,2)))+TIME(VALUE(MID(C540,12,2)),VALUE(MID(C540,15,2)),0)</f>
        <v>40307.2493055556</v>
      </c>
      <c r="U540" s="2" t="str">
        <f aca="false">IF(AND(ISNUMBER(VALUE(MID(A540,7,1))),ISNUMBER(SEARCH("km",A540)),ISNUMBER(SEARCH("of",A540))),"Distance-location","Named-region")</f>
        <v>Named-region</v>
      </c>
      <c r="V540" s="2" t="str">
        <f aca="false">LOWER(M540)</f>
        <v>mwc</v>
      </c>
      <c r="W540" s="5" t="str">
        <f aca="false">IF(COUNTIFS($A$2:$A$1001,A540,$C$2:$C$1001,C540)&gt;1,"Duplicate","Unique")</f>
        <v>Unique</v>
      </c>
    </row>
    <row r="541" customFormat="false" ht="15" hidden="false" customHeight="false" outlineLevel="0" collapsed="false">
      <c r="A541" s="2" t="s">
        <v>1456</v>
      </c>
      <c r="B541" s="3" t="n">
        <v>6.9</v>
      </c>
      <c r="C541" s="2" t="s">
        <v>1457</v>
      </c>
      <c r="D541" s="2" t="n">
        <v>6</v>
      </c>
      <c r="E541" s="2" t="n">
        <v>9</v>
      </c>
      <c r="F541" s="2"/>
      <c r="G541" s="2" t="n">
        <v>0</v>
      </c>
      <c r="H541" s="2" t="n">
        <v>773</v>
      </c>
      <c r="I541" s="2" t="s">
        <v>26</v>
      </c>
      <c r="J541" s="2" t="n">
        <v>410</v>
      </c>
      <c r="K541" s="2" t="n">
        <v>0</v>
      </c>
      <c r="L541" s="2" t="n">
        <v>14.9</v>
      </c>
      <c r="M541" s="2" t="s">
        <v>131</v>
      </c>
      <c r="N541" s="3" t="n">
        <v>17</v>
      </c>
      <c r="O541" s="3" t="n">
        <v>33.165</v>
      </c>
      <c r="P541" s="3" t="n">
        <v>96.548</v>
      </c>
      <c r="Q541" s="3" t="s">
        <v>1458</v>
      </c>
      <c r="R541" s="2" t="s">
        <v>84</v>
      </c>
      <c r="S541" s="2" t="s">
        <v>188</v>
      </c>
      <c r="T541" s="4" t="n">
        <f aca="false">DATE(VALUE(MID(C541,7,4)),VALUE(MID(C541,4,2)),VALUE(MID(C541,1,2)))+TIME(VALUE(MID(C541,12,2)),VALUE(MID(C541,15,2)),0)</f>
        <v>40281.9923611111</v>
      </c>
      <c r="U541" s="2" t="str">
        <f aca="false">IF(AND(ISNUMBER(VALUE(MID(A541,7,1))),ISNUMBER(SEARCH("km",A541)),ISNUMBER(SEARCH("of",A541))),"Distance-location","Named-region")</f>
        <v>Named-region</v>
      </c>
      <c r="V541" s="2" t="str">
        <f aca="false">LOWER(M541)</f>
        <v>mwc</v>
      </c>
      <c r="W541" s="5" t="str">
        <f aca="false">IF(COUNTIFS($A$2:$A$1001,A541,$C$2:$C$1001,C541)&gt;1,"Duplicate","Unique")</f>
        <v>Unique</v>
      </c>
    </row>
    <row r="542" customFormat="false" ht="15" hidden="false" customHeight="false" outlineLevel="0" collapsed="false">
      <c r="A542" s="2" t="s">
        <v>1459</v>
      </c>
      <c r="B542" s="3" t="n">
        <v>6.9</v>
      </c>
      <c r="C542" s="2" t="s">
        <v>1460</v>
      </c>
      <c r="D542" s="2" t="n">
        <v>4</v>
      </c>
      <c r="E542" s="2" t="n">
        <v>5</v>
      </c>
      <c r="F542" s="2"/>
      <c r="G542" s="2" t="n">
        <v>0</v>
      </c>
      <c r="H542" s="2" t="n">
        <v>740</v>
      </c>
      <c r="I542" s="2" t="s">
        <v>26</v>
      </c>
      <c r="J542" s="2" t="n">
        <v>399</v>
      </c>
      <c r="K542" s="2" t="n">
        <v>0</v>
      </c>
      <c r="L542" s="2" t="n">
        <v>12.1</v>
      </c>
      <c r="M542" s="2" t="s">
        <v>131</v>
      </c>
      <c r="N542" s="3" t="n">
        <v>21</v>
      </c>
      <c r="O542" s="3" t="n">
        <v>-10.878</v>
      </c>
      <c r="P542" s="3" t="n">
        <v>161.116</v>
      </c>
      <c r="Q542" s="3" t="s">
        <v>585</v>
      </c>
      <c r="R542" s="2"/>
      <c r="S542" s="2"/>
      <c r="T542" s="4" t="n">
        <f aca="false">DATE(VALUE(MID(C542,7,4)),VALUE(MID(C542,4,2)),VALUE(MID(C542,1,2)))+TIME(VALUE(MID(C542,12,2)),VALUE(MID(C542,15,2)),0)</f>
        <v>40279.4027777778</v>
      </c>
      <c r="U542" s="2" t="str">
        <f aca="false">IF(AND(ISNUMBER(VALUE(MID(A542,7,1))),ISNUMBER(SEARCH("km",A542)),ISNUMBER(SEARCH("of",A542))),"Distance-location","Named-region")</f>
        <v>Named-region</v>
      </c>
      <c r="V542" s="2" t="str">
        <f aca="false">LOWER(M542)</f>
        <v>mwc</v>
      </c>
      <c r="W542" s="5" t="str">
        <f aca="false">IF(COUNTIFS($A$2:$A$1001,A542,$C$2:$C$1001,C542)&gt;1,"Duplicate","Unique")</f>
        <v>Unique</v>
      </c>
    </row>
    <row r="543" customFormat="false" ht="15" hidden="false" customHeight="false" outlineLevel="0" collapsed="false">
      <c r="A543" s="2" t="s">
        <v>1461</v>
      </c>
      <c r="B543" s="3" t="n">
        <v>7.8</v>
      </c>
      <c r="C543" s="2" t="s">
        <v>1462</v>
      </c>
      <c r="D543" s="2" t="n">
        <v>0</v>
      </c>
      <c r="E543" s="2" t="n">
        <v>7</v>
      </c>
      <c r="F543" s="2"/>
      <c r="G543" s="2" t="n">
        <v>0</v>
      </c>
      <c r="H543" s="2" t="n">
        <v>936</v>
      </c>
      <c r="I543" s="2" t="s">
        <v>26</v>
      </c>
      <c r="J543" s="2" t="n">
        <v>352</v>
      </c>
      <c r="K543" s="2" t="n">
        <v>0</v>
      </c>
      <c r="L543" s="2" t="n">
        <v>19.2</v>
      </c>
      <c r="M543" s="2" t="s">
        <v>131</v>
      </c>
      <c r="N543" s="3" t="n">
        <v>31</v>
      </c>
      <c r="O543" s="3" t="n">
        <v>2.383</v>
      </c>
      <c r="P543" s="3" t="n">
        <v>97.048</v>
      </c>
      <c r="Q543" s="3" t="s">
        <v>321</v>
      </c>
      <c r="R543" s="2"/>
      <c r="S543" s="2" t="s">
        <v>72</v>
      </c>
      <c r="T543" s="4" t="n">
        <f aca="false">DATE(VALUE(MID(C543,7,4)),VALUE(MID(C543,4,2)),VALUE(MID(C543,1,2)))+TIME(VALUE(MID(C543,12,2)),VALUE(MID(C543,15,2)),0)</f>
        <v>40274.9270833333</v>
      </c>
      <c r="U543" s="2" t="str">
        <f aca="false">IF(AND(ISNUMBER(VALUE(MID(A543,7,1))),ISNUMBER(SEARCH("km",A543)),ISNUMBER(SEARCH("of",A543))),"Distance-location","Named-region")</f>
        <v>Named-region</v>
      </c>
      <c r="V543" s="2" t="str">
        <f aca="false">LOWER(M543)</f>
        <v>mwc</v>
      </c>
      <c r="W543" s="5" t="str">
        <f aca="false">IF(COUNTIFS($A$2:$A$1001,A543,$C$2:$C$1001,C543)&gt;1,"Duplicate","Unique")</f>
        <v>Unique</v>
      </c>
    </row>
    <row r="544" customFormat="false" ht="15" hidden="false" customHeight="false" outlineLevel="0" collapsed="false">
      <c r="A544" s="2" t="s">
        <v>1463</v>
      </c>
      <c r="B544" s="3" t="n">
        <v>7.2</v>
      </c>
      <c r="C544" s="2" t="s">
        <v>1464</v>
      </c>
      <c r="D544" s="2" t="n">
        <v>9</v>
      </c>
      <c r="E544" s="2" t="n">
        <v>9</v>
      </c>
      <c r="F544" s="2" t="s">
        <v>125</v>
      </c>
      <c r="G544" s="2" t="n">
        <v>0</v>
      </c>
      <c r="H544" s="2" t="n">
        <v>2910</v>
      </c>
      <c r="I544" s="2" t="s">
        <v>488</v>
      </c>
      <c r="J544" s="2" t="n">
        <v>10</v>
      </c>
      <c r="K544" s="2" t="n">
        <v>0.5137</v>
      </c>
      <c r="L544" s="2" t="n">
        <v>239</v>
      </c>
      <c r="M544" s="2" t="s">
        <v>489</v>
      </c>
      <c r="N544" s="3" t="n">
        <v>9.987</v>
      </c>
      <c r="O544" s="3" t="n">
        <v>32.2862</v>
      </c>
      <c r="P544" s="3" t="n">
        <v>-115.295</v>
      </c>
      <c r="Q544" s="3" t="s">
        <v>1465</v>
      </c>
      <c r="R544" s="2" t="s">
        <v>168</v>
      </c>
      <c r="S544" s="2" t="s">
        <v>169</v>
      </c>
      <c r="T544" s="4" t="n">
        <f aca="false">DATE(VALUE(MID(C544,7,4)),VALUE(MID(C544,4,2)),VALUE(MID(C544,1,2)))+TIME(VALUE(MID(C544,12,2)),VALUE(MID(C544,15,2)),0)</f>
        <v>40272.9444444444</v>
      </c>
      <c r="U544" s="2" t="str">
        <f aca="false">IF(AND(ISNUMBER(VALUE(MID(A544,7,1))),ISNUMBER(SEARCH("km",A544)),ISNUMBER(SEARCH("of",A544))),"Distance-location","Named-region")</f>
        <v>Named-region</v>
      </c>
      <c r="V544" s="2" t="str">
        <f aca="false">LOWER(M544)</f>
        <v>mw</v>
      </c>
      <c r="W544" s="5" t="str">
        <f aca="false">IF(COUNTIFS($A$2:$A$1001,A544,$C$2:$C$1001,C544)&gt;1,"Duplicate","Unique")</f>
        <v>Unique</v>
      </c>
    </row>
    <row r="545" customFormat="false" ht="15" hidden="false" customHeight="false" outlineLevel="0" collapsed="false">
      <c r="A545" s="2" t="s">
        <v>1466</v>
      </c>
      <c r="B545" s="3" t="n">
        <v>6.6</v>
      </c>
      <c r="C545" s="2" t="s">
        <v>1467</v>
      </c>
      <c r="D545" s="2" t="n">
        <v>5</v>
      </c>
      <c r="E545" s="2" t="n">
        <v>6</v>
      </c>
      <c r="F545" s="2"/>
      <c r="G545" s="2" t="n">
        <v>0</v>
      </c>
      <c r="H545" s="2" t="n">
        <v>701</v>
      </c>
      <c r="I545" s="2" t="s">
        <v>26</v>
      </c>
      <c r="J545" s="2" t="n">
        <v>413</v>
      </c>
      <c r="K545" s="2" t="n">
        <v>0</v>
      </c>
      <c r="L545" s="2" t="n">
        <v>16.7</v>
      </c>
      <c r="M545" s="2" t="s">
        <v>131</v>
      </c>
      <c r="N545" s="3" t="n">
        <v>34</v>
      </c>
      <c r="O545" s="3" t="n">
        <v>13.667</v>
      </c>
      <c r="P545" s="3" t="n">
        <v>92.831</v>
      </c>
      <c r="Q545" s="3" t="s">
        <v>1468</v>
      </c>
      <c r="R545" s="2"/>
      <c r="S545" s="2" t="s">
        <v>864</v>
      </c>
      <c r="T545" s="4" t="n">
        <f aca="false">DATE(VALUE(MID(C545,7,4)),VALUE(MID(C545,4,2)),VALUE(MID(C545,1,2)))+TIME(VALUE(MID(C545,12,2)),VALUE(MID(C545,15,2)),0)</f>
        <v>40267.7041666667</v>
      </c>
      <c r="U545" s="2" t="str">
        <f aca="false">IF(AND(ISNUMBER(VALUE(MID(A545,7,1))),ISNUMBER(SEARCH("km",A545)),ISNUMBER(SEARCH("of",A545))),"Distance-location","Named-region")</f>
        <v>Named-region</v>
      </c>
      <c r="V545" s="2" t="str">
        <f aca="false">LOWER(M545)</f>
        <v>mwc</v>
      </c>
      <c r="W545" s="5" t="str">
        <f aca="false">IF(COUNTIFS($A$2:$A$1001,A545,$C$2:$C$1001,C545)&gt;1,"Duplicate","Unique")</f>
        <v>Unique</v>
      </c>
    </row>
    <row r="546" customFormat="false" ht="15" hidden="false" customHeight="false" outlineLevel="0" collapsed="false">
      <c r="A546" s="2" t="s">
        <v>1469</v>
      </c>
      <c r="B546" s="3" t="n">
        <v>6.7</v>
      </c>
      <c r="C546" s="2" t="s">
        <v>1470</v>
      </c>
      <c r="D546" s="2" t="n">
        <v>5</v>
      </c>
      <c r="E546" s="2" t="n">
        <v>6</v>
      </c>
      <c r="F546" s="2"/>
      <c r="G546" s="2" t="n">
        <v>0</v>
      </c>
      <c r="H546" s="2" t="n">
        <v>856</v>
      </c>
      <c r="I546" s="2" t="s">
        <v>26</v>
      </c>
      <c r="J546" s="2" t="n">
        <v>312</v>
      </c>
      <c r="K546" s="2" t="n">
        <v>0</v>
      </c>
      <c r="L546" s="2" t="n">
        <v>34.7</v>
      </c>
      <c r="M546" s="2" t="s">
        <v>131</v>
      </c>
      <c r="N546" s="3" t="n">
        <v>18</v>
      </c>
      <c r="O546" s="3" t="n">
        <v>-36.217</v>
      </c>
      <c r="P546" s="3" t="n">
        <v>-73.257</v>
      </c>
      <c r="Q546" s="3" t="s">
        <v>1395</v>
      </c>
      <c r="R546" s="2"/>
      <c r="S546" s="2"/>
      <c r="T546" s="4" t="n">
        <f aca="false">DATE(VALUE(MID(C546,7,4)),VALUE(MID(C546,4,2)),VALUE(MID(C546,1,2)))+TIME(VALUE(MID(C546,12,2)),VALUE(MID(C546,15,2)),0)</f>
        <v>40253.0979166667</v>
      </c>
      <c r="U546" s="2" t="str">
        <f aca="false">IF(AND(ISNUMBER(VALUE(MID(A546,7,1))),ISNUMBER(SEARCH("km",A546)),ISNUMBER(SEARCH("of",A546))),"Distance-location","Named-region")</f>
        <v>Named-region</v>
      </c>
      <c r="V546" s="2" t="str">
        <f aca="false">LOWER(M546)</f>
        <v>mwc</v>
      </c>
      <c r="W546" s="5" t="str">
        <f aca="false">IF(COUNTIFS($A$2:$A$1001,A546,$C$2:$C$1001,C546)&gt;1,"Duplicate","Unique")</f>
        <v>Unique</v>
      </c>
    </row>
    <row r="547" customFormat="false" ht="15" hidden="false" customHeight="false" outlineLevel="0" collapsed="false">
      <c r="A547" s="2" t="s">
        <v>1471</v>
      </c>
      <c r="B547" s="3" t="n">
        <v>6.5</v>
      </c>
      <c r="C547" s="2" t="s">
        <v>1472</v>
      </c>
      <c r="D547" s="2" t="n">
        <v>6</v>
      </c>
      <c r="E547" s="2" t="n">
        <v>5</v>
      </c>
      <c r="F547" s="2"/>
      <c r="G547" s="2" t="n">
        <v>0</v>
      </c>
      <c r="H547" s="2" t="n">
        <v>810</v>
      </c>
      <c r="I547" s="2" t="s">
        <v>26</v>
      </c>
      <c r="J547" s="2" t="n">
        <v>491</v>
      </c>
      <c r="K547" s="2" t="n">
        <v>0</v>
      </c>
      <c r="L547" s="2" t="n">
        <v>27</v>
      </c>
      <c r="M547" s="2" t="s">
        <v>131</v>
      </c>
      <c r="N547" s="3" t="n">
        <v>32</v>
      </c>
      <c r="O547" s="3" t="n">
        <v>37.745</v>
      </c>
      <c r="P547" s="3" t="n">
        <v>141.59</v>
      </c>
      <c r="Q547" s="3" t="s">
        <v>221</v>
      </c>
      <c r="R547" s="2"/>
      <c r="S547" s="2"/>
      <c r="T547" s="4" t="n">
        <f aca="false">DATE(VALUE(MID(C547,7,4)),VALUE(MID(C547,4,2)),VALUE(MID(C547,1,2)))+TIME(VALUE(MID(C547,12,2)),VALUE(MID(C547,15,2)),0)</f>
        <v>40251.3388888889</v>
      </c>
      <c r="U547" s="2" t="str">
        <f aca="false">IF(AND(ISNUMBER(VALUE(MID(A547,7,1))),ISNUMBER(SEARCH("km",A547)),ISNUMBER(SEARCH("of",A547))),"Distance-location","Named-region")</f>
        <v>Named-region</v>
      </c>
      <c r="V547" s="2" t="str">
        <f aca="false">LOWER(M547)</f>
        <v>mwc</v>
      </c>
      <c r="W547" s="5" t="str">
        <f aca="false">IF(COUNTIFS($A$2:$A$1001,A547,$C$2:$C$1001,C547)&gt;1,"Duplicate","Unique")</f>
        <v>Unique</v>
      </c>
    </row>
    <row r="548" customFormat="false" ht="15" hidden="false" customHeight="false" outlineLevel="0" collapsed="false">
      <c r="A548" s="2" t="s">
        <v>1473</v>
      </c>
      <c r="B548" s="3" t="n">
        <v>7</v>
      </c>
      <c r="C548" s="2" t="s">
        <v>1474</v>
      </c>
      <c r="D548" s="2" t="n">
        <v>7</v>
      </c>
      <c r="E548" s="2" t="n">
        <v>7</v>
      </c>
      <c r="F548" s="2"/>
      <c r="G548" s="2" t="n">
        <v>0</v>
      </c>
      <c r="H548" s="2" t="n">
        <v>874</v>
      </c>
      <c r="I548" s="2" t="s">
        <v>26</v>
      </c>
      <c r="J548" s="2" t="n">
        <v>403</v>
      </c>
      <c r="K548" s="2" t="n">
        <v>0</v>
      </c>
      <c r="L548" s="2" t="n">
        <v>17.1</v>
      </c>
      <c r="M548" s="2" t="s">
        <v>131</v>
      </c>
      <c r="N548" s="3" t="n">
        <v>18</v>
      </c>
      <c r="O548" s="3" t="n">
        <v>-34.326</v>
      </c>
      <c r="P548" s="3" t="n">
        <v>-71.799</v>
      </c>
      <c r="Q548" s="3" t="s">
        <v>1475</v>
      </c>
      <c r="R548" s="2" t="s">
        <v>37</v>
      </c>
      <c r="S548" s="2" t="s">
        <v>377</v>
      </c>
      <c r="T548" s="4" t="n">
        <f aca="false">DATE(VALUE(MID(C548,7,4)),VALUE(MID(C548,4,2)),VALUE(MID(C548,1,2)))+TIME(VALUE(MID(C548,12,2)),VALUE(MID(C548,15,2)),0)</f>
        <v>40248.6215277778</v>
      </c>
      <c r="U548" s="2" t="str">
        <f aca="false">IF(AND(ISNUMBER(VALUE(MID(A548,7,1))),ISNUMBER(SEARCH("km",A548)),ISNUMBER(SEARCH("of",A548))),"Distance-location","Named-region")</f>
        <v>Named-region</v>
      </c>
      <c r="V548" s="2" t="str">
        <f aca="false">LOWER(M548)</f>
        <v>mwc</v>
      </c>
      <c r="W548" s="5" t="str">
        <f aca="false">IF(COUNTIFS($A$2:$A$1001,A548,$C$2:$C$1001,C548)&gt;1,"Duplicate","Unique")</f>
        <v>Unique</v>
      </c>
    </row>
    <row r="549" customFormat="false" ht="15" hidden="false" customHeight="false" outlineLevel="0" collapsed="false">
      <c r="A549" s="2" t="s">
        <v>1476</v>
      </c>
      <c r="B549" s="3" t="n">
        <v>6.9</v>
      </c>
      <c r="C549" s="2" t="s">
        <v>1477</v>
      </c>
      <c r="D549" s="2" t="n">
        <v>7</v>
      </c>
      <c r="E549" s="2" t="n">
        <v>7</v>
      </c>
      <c r="F549" s="2"/>
      <c r="G549" s="2" t="n">
        <v>0</v>
      </c>
      <c r="H549" s="2" t="n">
        <v>1280</v>
      </c>
      <c r="I549" s="2" t="s">
        <v>26</v>
      </c>
      <c r="J549" s="2" t="n">
        <v>415</v>
      </c>
      <c r="K549" s="2" t="n">
        <v>0</v>
      </c>
      <c r="L549" s="2" t="n">
        <v>12.5</v>
      </c>
      <c r="M549" s="2" t="s">
        <v>131</v>
      </c>
      <c r="N549" s="3" t="n">
        <v>11</v>
      </c>
      <c r="O549" s="3" t="n">
        <v>-34.29</v>
      </c>
      <c r="P549" s="3" t="n">
        <v>-71.891</v>
      </c>
      <c r="Q549" s="3" t="s">
        <v>1475</v>
      </c>
      <c r="R549" s="2" t="s">
        <v>37</v>
      </c>
      <c r="S549" s="2" t="s">
        <v>377</v>
      </c>
      <c r="T549" s="4" t="n">
        <f aca="false">DATE(VALUE(MID(C549,7,4)),VALUE(MID(C549,4,2)),VALUE(MID(C549,1,2)))+TIME(VALUE(MID(C549,12,2)),VALUE(MID(C549,15,2)),0)</f>
        <v>40248.6104166667</v>
      </c>
      <c r="U549" s="2" t="str">
        <f aca="false">IF(AND(ISNUMBER(VALUE(MID(A549,7,1))),ISNUMBER(SEARCH("km",A549)),ISNUMBER(SEARCH("of",A549))),"Distance-location","Named-region")</f>
        <v>Named-region</v>
      </c>
      <c r="V549" s="2" t="str">
        <f aca="false">LOWER(M549)</f>
        <v>mwc</v>
      </c>
      <c r="W549" s="5" t="str">
        <f aca="false">IF(COUNTIFS($A$2:$A$1001,A549,$C$2:$C$1001,C549)&gt;1,"Duplicate","Unique")</f>
        <v>Unique</v>
      </c>
    </row>
    <row r="550" customFormat="false" ht="15" hidden="false" customHeight="false" outlineLevel="0" collapsed="false">
      <c r="A550" s="2" t="s">
        <v>1478</v>
      </c>
      <c r="B550" s="3" t="n">
        <v>6.8</v>
      </c>
      <c r="C550" s="2" t="s">
        <v>1479</v>
      </c>
      <c r="D550" s="2" t="n">
        <v>4</v>
      </c>
      <c r="E550" s="2" t="n">
        <v>6</v>
      </c>
      <c r="F550" s="2"/>
      <c r="G550" s="2" t="n">
        <v>0</v>
      </c>
      <c r="H550" s="2" t="n">
        <v>717</v>
      </c>
      <c r="I550" s="2" t="s">
        <v>26</v>
      </c>
      <c r="J550" s="2" t="n">
        <v>401</v>
      </c>
      <c r="K550" s="2" t="n">
        <v>0</v>
      </c>
      <c r="L550" s="2" t="n">
        <v>23.2</v>
      </c>
      <c r="M550" s="2" t="s">
        <v>131</v>
      </c>
      <c r="N550" s="3" t="n">
        <v>26</v>
      </c>
      <c r="O550" s="3" t="n">
        <v>-3.762</v>
      </c>
      <c r="P550" s="3" t="n">
        <v>100.991</v>
      </c>
      <c r="Q550" s="3" t="s">
        <v>147</v>
      </c>
      <c r="R550" s="2"/>
      <c r="S550" s="2" t="s">
        <v>72</v>
      </c>
      <c r="T550" s="4" t="n">
        <f aca="false">DATE(VALUE(MID(C550,7,4)),VALUE(MID(C550,4,2)),VALUE(MID(C550,1,2)))+TIME(VALUE(MID(C550,12,2)),VALUE(MID(C550,15,2)),0)</f>
        <v>40242.6715277778</v>
      </c>
      <c r="U550" s="2" t="str">
        <f aca="false">IF(AND(ISNUMBER(VALUE(MID(A550,7,1))),ISNUMBER(SEARCH("km",A550)),ISNUMBER(SEARCH("of",A550))),"Distance-location","Named-region")</f>
        <v>Named-region</v>
      </c>
      <c r="V550" s="2" t="str">
        <f aca="false">LOWER(M550)</f>
        <v>mwc</v>
      </c>
      <c r="W550" s="5" t="str">
        <f aca="false">IF(COUNTIFS($A$2:$A$1001,A550,$C$2:$C$1001,C550)&gt;1,"Duplicate","Unique")</f>
        <v>Unique</v>
      </c>
    </row>
    <row r="551" customFormat="false" ht="15" hidden="false" customHeight="false" outlineLevel="0" collapsed="false">
      <c r="A551" s="2" t="s">
        <v>1480</v>
      </c>
      <c r="B551" s="3" t="n">
        <v>6.6</v>
      </c>
      <c r="C551" s="2" t="s">
        <v>1481</v>
      </c>
      <c r="D551" s="2" t="n">
        <v>7</v>
      </c>
      <c r="E551" s="2" t="n">
        <v>7</v>
      </c>
      <c r="F551" s="2"/>
      <c r="G551" s="2" t="n">
        <v>0</v>
      </c>
      <c r="H551" s="2" t="n">
        <v>736</v>
      </c>
      <c r="I551" s="2" t="s">
        <v>26</v>
      </c>
      <c r="J551" s="2" t="n">
        <v>255</v>
      </c>
      <c r="K551" s="2" t="n">
        <v>0</v>
      </c>
      <c r="L551" s="2" t="n">
        <v>27.8</v>
      </c>
      <c r="M551" s="2" t="s">
        <v>158</v>
      </c>
      <c r="N551" s="3" t="n">
        <v>18</v>
      </c>
      <c r="O551" s="3" t="n">
        <v>-36.665</v>
      </c>
      <c r="P551" s="3" t="n">
        <v>-73.374</v>
      </c>
      <c r="Q551" s="3" t="s">
        <v>1482</v>
      </c>
      <c r="R551" s="2"/>
      <c r="S551" s="2" t="s">
        <v>377</v>
      </c>
      <c r="T551" s="4" t="n">
        <f aca="false">DATE(VALUE(MID(C551,7,4)),VALUE(MID(C551,4,2)),VALUE(MID(C551,1,2)))+TIME(VALUE(MID(C551,12,2)),VALUE(MID(C551,15,2)),0)</f>
        <v>40242.4909722222</v>
      </c>
      <c r="U551" s="2" t="str">
        <f aca="false">IF(AND(ISNUMBER(VALUE(MID(A551,7,1))),ISNUMBER(SEARCH("km",A551)),ISNUMBER(SEARCH("of",A551))),"Distance-location","Named-region")</f>
        <v>Named-region</v>
      </c>
      <c r="V551" s="2" t="str">
        <f aca="false">LOWER(M551)</f>
        <v>mwb</v>
      </c>
      <c r="W551" s="5" t="str">
        <f aca="false">IF(COUNTIFS($A$2:$A$1001,A551,$C$2:$C$1001,C551)&gt;1,"Duplicate","Unique")</f>
        <v>Unique</v>
      </c>
    </row>
    <row r="552" customFormat="false" ht="15" hidden="false" customHeight="false" outlineLevel="0" collapsed="false">
      <c r="A552" s="2" t="s">
        <v>1483</v>
      </c>
      <c r="B552" s="3" t="n">
        <v>6.5</v>
      </c>
      <c r="C552" s="2" t="s">
        <v>1484</v>
      </c>
      <c r="D552" s="2" t="n">
        <v>0</v>
      </c>
      <c r="E552" s="2" t="n">
        <v>4</v>
      </c>
      <c r="F552" s="2"/>
      <c r="G552" s="2" t="n">
        <v>0</v>
      </c>
      <c r="H552" s="2" t="n">
        <v>650</v>
      </c>
      <c r="I552" s="2" t="s">
        <v>26</v>
      </c>
      <c r="J552" s="2" t="n">
        <v>426</v>
      </c>
      <c r="K552" s="2" t="n">
        <v>0</v>
      </c>
      <c r="L552" s="2" t="n">
        <v>18.7</v>
      </c>
      <c r="M552" s="2" t="s">
        <v>158</v>
      </c>
      <c r="N552" s="3" t="n">
        <v>176</v>
      </c>
      <c r="O552" s="3" t="n">
        <v>-13.571</v>
      </c>
      <c r="P552" s="3" t="n">
        <v>167.227</v>
      </c>
      <c r="Q552" s="3" t="s">
        <v>28</v>
      </c>
      <c r="R552" s="2"/>
      <c r="S552" s="2" t="s">
        <v>29</v>
      </c>
      <c r="T552" s="4" t="n">
        <f aca="false">DATE(VALUE(MID(C552,7,4)),VALUE(MID(C552,4,2)),VALUE(MID(C552,1,2)))+TIME(VALUE(MID(C552,12,2)),VALUE(MID(C552,15,2)),0)</f>
        <v>40241.5847222222</v>
      </c>
      <c r="U552" s="2" t="str">
        <f aca="false">IF(AND(ISNUMBER(VALUE(MID(A552,7,1))),ISNUMBER(SEARCH("km",A552)),ISNUMBER(SEARCH("of",A552))),"Distance-location","Named-region")</f>
        <v>Named-region</v>
      </c>
      <c r="V552" s="2" t="str">
        <f aca="false">LOWER(M552)</f>
        <v>mwb</v>
      </c>
      <c r="W552" s="5" t="str">
        <f aca="false">IF(COUNTIFS($A$2:$A$1001,A552,$C$2:$C$1001,C552)&gt;1,"Duplicate","Unique")</f>
        <v>Unique</v>
      </c>
    </row>
    <row r="553" customFormat="false" ht="15" hidden="false" customHeight="false" outlineLevel="0" collapsed="false">
      <c r="A553" s="2" t="s">
        <v>1485</v>
      </c>
      <c r="B553" s="3" t="n">
        <v>7.4</v>
      </c>
      <c r="C553" s="2" t="s">
        <v>1486</v>
      </c>
      <c r="D553" s="2" t="n">
        <v>0</v>
      </c>
      <c r="E553" s="2" t="n">
        <v>5</v>
      </c>
      <c r="F553" s="2"/>
      <c r="G553" s="2" t="n">
        <v>0</v>
      </c>
      <c r="H553" s="2" t="n">
        <v>842</v>
      </c>
      <c r="I553" s="2" t="s">
        <v>26</v>
      </c>
      <c r="J553" s="2" t="n">
        <v>409</v>
      </c>
      <c r="K553" s="2" t="n">
        <v>0</v>
      </c>
      <c r="L553" s="2" t="n">
        <v>17.6</v>
      </c>
      <c r="M553" s="2" t="s">
        <v>131</v>
      </c>
      <c r="N553" s="3" t="n">
        <v>35</v>
      </c>
      <c r="O553" s="3" t="n">
        <v>-37.773</v>
      </c>
      <c r="P553" s="3" t="n">
        <v>-75.048</v>
      </c>
      <c r="Q553" s="3" t="s">
        <v>1487</v>
      </c>
      <c r="R553" s="2"/>
      <c r="S553" s="2"/>
      <c r="T553" s="4" t="n">
        <f aca="false">DATE(VALUE(MID(C553,7,4)),VALUE(MID(C553,4,2)),VALUE(MID(C553,1,2)))+TIME(VALUE(MID(C553,12,2)),VALUE(MID(C553,15,2)),0)</f>
        <v>40236.3340277778</v>
      </c>
      <c r="U553" s="2" t="str">
        <f aca="false">IF(AND(ISNUMBER(VALUE(MID(A553,7,1))),ISNUMBER(SEARCH("km",A553)),ISNUMBER(SEARCH("of",A553))),"Distance-location","Named-region")</f>
        <v>Named-region</v>
      </c>
      <c r="V553" s="2" t="str">
        <f aca="false">LOWER(M553)</f>
        <v>mwc</v>
      </c>
      <c r="W553" s="5" t="str">
        <f aca="false">IF(COUNTIFS($A$2:$A$1001,A553,$C$2:$C$1001,C553)&gt;1,"Duplicate","Unique")</f>
        <v>Unique</v>
      </c>
    </row>
    <row r="554" customFormat="false" ht="15" hidden="false" customHeight="false" outlineLevel="0" collapsed="false">
      <c r="A554" s="2" t="s">
        <v>1488</v>
      </c>
      <c r="B554" s="3" t="n">
        <v>8.8</v>
      </c>
      <c r="C554" s="2" t="s">
        <v>1489</v>
      </c>
      <c r="D554" s="2" t="n">
        <v>8</v>
      </c>
      <c r="E554" s="2" t="n">
        <v>8</v>
      </c>
      <c r="F554" s="2"/>
      <c r="G554" s="2" t="n">
        <v>0</v>
      </c>
      <c r="H554" s="2" t="n">
        <v>1991</v>
      </c>
      <c r="I554" s="2" t="s">
        <v>1297</v>
      </c>
      <c r="J554" s="2" t="n">
        <v>454</v>
      </c>
      <c r="K554" s="2" t="n">
        <v>0</v>
      </c>
      <c r="L554" s="2" t="n">
        <v>17.8</v>
      </c>
      <c r="M554" s="2" t="s">
        <v>27</v>
      </c>
      <c r="N554" s="3" t="n">
        <v>22.9</v>
      </c>
      <c r="O554" s="3" t="n">
        <v>-36.122</v>
      </c>
      <c r="P554" s="3" t="n">
        <v>-72.898</v>
      </c>
      <c r="Q554" s="3" t="s">
        <v>1490</v>
      </c>
      <c r="R554" s="2" t="s">
        <v>37</v>
      </c>
      <c r="S554" s="2" t="s">
        <v>377</v>
      </c>
      <c r="T554" s="4" t="n">
        <f aca="false">DATE(VALUE(MID(C554,7,4)),VALUE(MID(C554,4,2)),VALUE(MID(C554,1,2)))+TIME(VALUE(MID(C554,12,2)),VALUE(MID(C554,15,2)),0)</f>
        <v>40236.2736111111</v>
      </c>
      <c r="U554" s="2" t="str">
        <f aca="false">IF(AND(ISNUMBER(VALUE(MID(A554,7,1))),ISNUMBER(SEARCH("km",A554)),ISNUMBER(SEARCH("of",A554))),"Distance-location","Named-region")</f>
        <v>Named-region</v>
      </c>
      <c r="V554" s="2" t="str">
        <f aca="false">LOWER(M554)</f>
        <v>mww</v>
      </c>
      <c r="W554" s="5" t="str">
        <f aca="false">IF(COUNTIFS($A$2:$A$1001,A554,$C$2:$C$1001,C554)&gt;1,"Duplicate","Unique")</f>
        <v>Unique</v>
      </c>
    </row>
    <row r="555" customFormat="false" ht="15" hidden="false" customHeight="false" outlineLevel="0" collapsed="false">
      <c r="A555" s="2" t="s">
        <v>1491</v>
      </c>
      <c r="B555" s="3" t="n">
        <v>7</v>
      </c>
      <c r="C555" s="2" t="s">
        <v>1492</v>
      </c>
      <c r="D555" s="2" t="n">
        <v>6</v>
      </c>
      <c r="E555" s="2" t="n">
        <v>6</v>
      </c>
      <c r="F555" s="2"/>
      <c r="G555" s="2" t="n">
        <v>0</v>
      </c>
      <c r="H555" s="2" t="n">
        <v>1180</v>
      </c>
      <c r="I555" s="2" t="s">
        <v>26</v>
      </c>
      <c r="J555" s="2" t="n">
        <v>487</v>
      </c>
      <c r="K555" s="2" t="n">
        <v>0</v>
      </c>
      <c r="L555" s="2" t="n">
        <v>15.7</v>
      </c>
      <c r="M555" s="2" t="s">
        <v>131</v>
      </c>
      <c r="N555" s="3" t="n">
        <v>25</v>
      </c>
      <c r="O555" s="3" t="n">
        <v>25.93</v>
      </c>
      <c r="P555" s="3" t="n">
        <v>128.425</v>
      </c>
      <c r="Q555" s="3" t="s">
        <v>1493</v>
      </c>
      <c r="R555" s="2"/>
      <c r="S555" s="2"/>
      <c r="T555" s="4" t="n">
        <f aca="false">DATE(VALUE(MID(C555,7,4)),VALUE(MID(C555,4,2)),VALUE(MID(C555,1,2)))+TIME(VALUE(MID(C555,12,2)),VALUE(MID(C555,15,2)),0)</f>
        <v>40235.8548611111</v>
      </c>
      <c r="U555" s="2" t="str">
        <f aca="false">IF(AND(ISNUMBER(VALUE(MID(A555,7,1))),ISNUMBER(SEARCH("km",A555)),ISNUMBER(SEARCH("of",A555))),"Distance-location","Named-region")</f>
        <v>Named-region</v>
      </c>
      <c r="V555" s="2" t="str">
        <f aca="false">LOWER(M555)</f>
        <v>mwc</v>
      </c>
      <c r="W555" s="5" t="str">
        <f aca="false">IF(COUNTIFS($A$2:$A$1001,A555,$C$2:$C$1001,C555)&gt;1,"Duplicate","Unique")</f>
        <v>Unique</v>
      </c>
    </row>
    <row r="556" customFormat="false" ht="15" hidden="false" customHeight="false" outlineLevel="0" collapsed="false">
      <c r="A556" s="2" t="s">
        <v>1494</v>
      </c>
      <c r="B556" s="3" t="n">
        <v>7</v>
      </c>
      <c r="C556" s="2" t="s">
        <v>1495</v>
      </c>
      <c r="D556" s="2" t="n">
        <v>9</v>
      </c>
      <c r="E556" s="2" t="n">
        <v>9</v>
      </c>
      <c r="F556" s="2"/>
      <c r="G556" s="2" t="n">
        <v>0</v>
      </c>
      <c r="H556" s="2" t="n">
        <v>1623</v>
      </c>
      <c r="I556" s="2" t="s">
        <v>26</v>
      </c>
      <c r="J556" s="2" t="n">
        <v>500</v>
      </c>
      <c r="K556" s="2" t="n">
        <v>0</v>
      </c>
      <c r="L556" s="2" t="n">
        <v>22.7</v>
      </c>
      <c r="M556" s="2" t="s">
        <v>131</v>
      </c>
      <c r="N556" s="3" t="n">
        <v>13</v>
      </c>
      <c r="O556" s="3" t="n">
        <v>18.443</v>
      </c>
      <c r="P556" s="3" t="n">
        <v>-72.571</v>
      </c>
      <c r="Q556" s="3" t="s">
        <v>1496</v>
      </c>
      <c r="R556" s="2"/>
      <c r="S556" s="2" t="s">
        <v>290</v>
      </c>
      <c r="T556" s="4" t="n">
        <f aca="false">DATE(VALUE(MID(C556,7,4)),VALUE(MID(C556,4,2)),VALUE(MID(C556,1,2)))+TIME(VALUE(MID(C556,12,2)),VALUE(MID(C556,15,2)),0)</f>
        <v>40190.9118055556</v>
      </c>
      <c r="U556" s="2" t="str">
        <f aca="false">IF(AND(ISNUMBER(VALUE(MID(A556,7,1))),ISNUMBER(SEARCH("km",A556)),ISNUMBER(SEARCH("of",A556))),"Distance-location","Named-region")</f>
        <v>Named-region</v>
      </c>
      <c r="V556" s="2" t="str">
        <f aca="false">LOWER(M556)</f>
        <v>mwc</v>
      </c>
      <c r="W556" s="5" t="str">
        <f aca="false">IF(COUNTIFS($A$2:$A$1001,A556,$C$2:$C$1001,C556)&gt;1,"Duplicate","Unique")</f>
        <v>Unique</v>
      </c>
    </row>
    <row r="557" customFormat="false" ht="15" hidden="false" customHeight="false" outlineLevel="0" collapsed="false">
      <c r="A557" s="2" t="s">
        <v>1497</v>
      </c>
      <c r="B557" s="3" t="n">
        <v>6.5</v>
      </c>
      <c r="C557" s="2" t="s">
        <v>1498</v>
      </c>
      <c r="D557" s="2" t="n">
        <v>7</v>
      </c>
      <c r="E557" s="2" t="n">
        <v>7</v>
      </c>
      <c r="F557" s="2"/>
      <c r="G557" s="2" t="n">
        <v>0</v>
      </c>
      <c r="H557" s="2" t="n">
        <v>1360</v>
      </c>
      <c r="I557" s="2" t="s">
        <v>1091</v>
      </c>
      <c r="J557" s="2" t="n">
        <v>51</v>
      </c>
      <c r="K557" s="2" t="n">
        <v>0.3225</v>
      </c>
      <c r="L557" s="2" t="n">
        <v>220</v>
      </c>
      <c r="M557" s="2" t="s">
        <v>489</v>
      </c>
      <c r="N557" s="3" t="n">
        <v>28.737</v>
      </c>
      <c r="O557" s="3" t="n">
        <v>40.652</v>
      </c>
      <c r="P557" s="3" t="n">
        <v>-124.692</v>
      </c>
      <c r="Q557" s="3" t="s">
        <v>764</v>
      </c>
      <c r="R557" s="2" t="s">
        <v>168</v>
      </c>
      <c r="S557" s="2"/>
      <c r="T557" s="4" t="n">
        <f aca="false">DATE(VALUE(MID(C557,7,4)),VALUE(MID(C557,4,2)),VALUE(MID(C557,1,2)))+TIME(VALUE(MID(C557,12,2)),VALUE(MID(C557,15,2)),0)</f>
        <v>40188.01875</v>
      </c>
      <c r="U557" s="2" t="str">
        <f aca="false">IF(AND(ISNUMBER(VALUE(MID(A557,7,1))),ISNUMBER(SEARCH("km",A557)),ISNUMBER(SEARCH("of",A557))),"Distance-location","Named-region")</f>
        <v>Named-region</v>
      </c>
      <c r="V557" s="2" t="str">
        <f aca="false">LOWER(M557)</f>
        <v>mw</v>
      </c>
      <c r="W557" s="5" t="str">
        <f aca="false">IF(COUNTIFS($A$2:$A$1001,A557,$C$2:$C$1001,C557)&gt;1,"Duplicate","Unique")</f>
        <v>Unique</v>
      </c>
    </row>
    <row r="558" customFormat="false" ht="15" hidden="false" customHeight="false" outlineLevel="0" collapsed="false">
      <c r="A558" s="2" t="s">
        <v>1499</v>
      </c>
      <c r="B558" s="3" t="n">
        <v>6.8</v>
      </c>
      <c r="C558" s="2" t="s">
        <v>1500</v>
      </c>
      <c r="D558" s="2" t="n">
        <v>3</v>
      </c>
      <c r="E558" s="2" t="n">
        <v>6</v>
      </c>
      <c r="F558" s="2"/>
      <c r="G558" s="2" t="n">
        <v>0</v>
      </c>
      <c r="H558" s="2" t="n">
        <v>713</v>
      </c>
      <c r="I558" s="2" t="s">
        <v>26</v>
      </c>
      <c r="J558" s="2" t="n">
        <v>338</v>
      </c>
      <c r="K558" s="2" t="n">
        <v>0</v>
      </c>
      <c r="L558" s="2" t="n">
        <v>15</v>
      </c>
      <c r="M558" s="2" t="s">
        <v>131</v>
      </c>
      <c r="N558" s="3" t="n">
        <v>15.4</v>
      </c>
      <c r="O558" s="3" t="n">
        <v>-9.019</v>
      </c>
      <c r="P558" s="3" t="n">
        <v>157.551</v>
      </c>
      <c r="Q558" s="3" t="s">
        <v>925</v>
      </c>
      <c r="R558" s="2"/>
      <c r="S558" s="2"/>
      <c r="T558" s="4" t="n">
        <f aca="false">DATE(VALUE(MID(C558,7,4)),VALUE(MID(C558,4,2)),VALUE(MID(C558,1,2)))+TIME(VALUE(MID(C558,12,2)),VALUE(MID(C558,15,2)),0)</f>
        <v>40183.5104166667</v>
      </c>
      <c r="U558" s="2" t="str">
        <f aca="false">IF(AND(ISNUMBER(VALUE(MID(A558,7,1))),ISNUMBER(SEARCH("km",A558)),ISNUMBER(SEARCH("of",A558))),"Distance-location","Named-region")</f>
        <v>Named-region</v>
      </c>
      <c r="V558" s="2" t="str">
        <f aca="false">LOWER(M558)</f>
        <v>mwc</v>
      </c>
      <c r="W558" s="5" t="str">
        <f aca="false">IF(COUNTIFS($A$2:$A$1001,A558,$C$2:$C$1001,C558)&gt;1,"Duplicate","Unique")</f>
        <v>Unique</v>
      </c>
    </row>
    <row r="559" customFormat="false" ht="15" hidden="false" customHeight="false" outlineLevel="0" collapsed="false">
      <c r="A559" s="2" t="s">
        <v>1501</v>
      </c>
      <c r="B559" s="3" t="n">
        <v>7.1</v>
      </c>
      <c r="C559" s="2" t="s">
        <v>1502</v>
      </c>
      <c r="D559" s="2" t="n">
        <v>5</v>
      </c>
      <c r="E559" s="2" t="n">
        <v>7</v>
      </c>
      <c r="F559" s="2"/>
      <c r="G559" s="2" t="n">
        <v>0</v>
      </c>
      <c r="H559" s="2" t="n">
        <v>780</v>
      </c>
      <c r="I559" s="2" t="s">
        <v>26</v>
      </c>
      <c r="J559" s="2" t="n">
        <v>377</v>
      </c>
      <c r="K559" s="2" t="n">
        <v>0</v>
      </c>
      <c r="L559" s="2" t="n">
        <v>15</v>
      </c>
      <c r="M559" s="2" t="s">
        <v>131</v>
      </c>
      <c r="N559" s="3" t="n">
        <v>10</v>
      </c>
      <c r="O559" s="3" t="n">
        <v>-8.783</v>
      </c>
      <c r="P559" s="3" t="n">
        <v>157.354</v>
      </c>
      <c r="Q559" s="3" t="s">
        <v>925</v>
      </c>
      <c r="R559" s="2"/>
      <c r="S559" s="2" t="s">
        <v>144</v>
      </c>
      <c r="T559" s="4" t="n">
        <f aca="false">DATE(VALUE(MID(C559,7,4)),VALUE(MID(C559,4,2)),VALUE(MID(C559,1,2)))+TIME(VALUE(MID(C559,12,2)),VALUE(MID(C559,15,2)),0)</f>
        <v>40181.9416666667</v>
      </c>
      <c r="U559" s="2" t="str">
        <f aca="false">IF(AND(ISNUMBER(VALUE(MID(A559,7,1))),ISNUMBER(SEARCH("km",A559)),ISNUMBER(SEARCH("of",A559))),"Distance-location","Named-region")</f>
        <v>Named-region</v>
      </c>
      <c r="V559" s="2" t="str">
        <f aca="false">LOWER(M559)</f>
        <v>mwc</v>
      </c>
      <c r="W559" s="5" t="str">
        <f aca="false">IF(COUNTIFS($A$2:$A$1001,A559,$C$2:$C$1001,C559)&gt;1,"Duplicate","Unique")</f>
        <v>Unique</v>
      </c>
    </row>
    <row r="560" customFormat="false" ht="15" hidden="false" customHeight="false" outlineLevel="0" collapsed="false">
      <c r="A560" s="2" t="s">
        <v>1503</v>
      </c>
      <c r="B560" s="3" t="n">
        <v>6.6</v>
      </c>
      <c r="C560" s="2" t="s">
        <v>1504</v>
      </c>
      <c r="D560" s="2" t="n">
        <v>5</v>
      </c>
      <c r="E560" s="2" t="n">
        <v>7</v>
      </c>
      <c r="F560" s="2"/>
      <c r="G560" s="2" t="n">
        <v>0</v>
      </c>
      <c r="H560" s="2" t="n">
        <v>672</v>
      </c>
      <c r="I560" s="2" t="s">
        <v>26</v>
      </c>
      <c r="J560" s="2" t="n">
        <v>282</v>
      </c>
      <c r="K560" s="2" t="n">
        <v>0</v>
      </c>
      <c r="L560" s="2" t="n">
        <v>16.6</v>
      </c>
      <c r="M560" s="2" t="s">
        <v>131</v>
      </c>
      <c r="N560" s="3" t="n">
        <v>10</v>
      </c>
      <c r="O560" s="3" t="n">
        <v>-8.726</v>
      </c>
      <c r="P560" s="3" t="n">
        <v>157.487</v>
      </c>
      <c r="Q560" s="3" t="s">
        <v>925</v>
      </c>
      <c r="R560" s="2"/>
      <c r="S560" s="2" t="s">
        <v>144</v>
      </c>
      <c r="T560" s="4" t="n">
        <f aca="false">DATE(VALUE(MID(C560,7,4)),VALUE(MID(C560,4,2)),VALUE(MID(C560,1,2)))+TIME(VALUE(MID(C560,12,2)),VALUE(MID(C560,15,2)),0)</f>
        <v>40181.9083333333</v>
      </c>
      <c r="U560" s="2" t="str">
        <f aca="false">IF(AND(ISNUMBER(VALUE(MID(A560,7,1))),ISNUMBER(SEARCH("km",A560)),ISNUMBER(SEARCH("of",A560))),"Distance-location","Named-region")</f>
        <v>Named-region</v>
      </c>
      <c r="V560" s="2" t="str">
        <f aca="false">LOWER(M560)</f>
        <v>mwc</v>
      </c>
      <c r="W560" s="5" t="str">
        <f aca="false">IF(COUNTIFS($A$2:$A$1001,A560,$C$2:$C$1001,C560)&gt;1,"Duplicate","Unique")</f>
        <v>Unique</v>
      </c>
    </row>
    <row r="561" customFormat="false" ht="15" hidden="false" customHeight="false" outlineLevel="0" collapsed="false">
      <c r="A561" s="2" t="s">
        <v>1505</v>
      </c>
      <c r="B561" s="3" t="n">
        <v>6.5</v>
      </c>
      <c r="C561" s="2" t="s">
        <v>1506</v>
      </c>
      <c r="D561" s="2" t="n">
        <v>6</v>
      </c>
      <c r="E561" s="2" t="n">
        <v>7</v>
      </c>
      <c r="F561" s="2"/>
      <c r="G561" s="2" t="n">
        <v>0</v>
      </c>
      <c r="H561" s="2" t="n">
        <v>698</v>
      </c>
      <c r="I561" s="2" t="s">
        <v>26</v>
      </c>
      <c r="J561" s="2" t="n">
        <v>390</v>
      </c>
      <c r="K561" s="2" t="n">
        <v>0</v>
      </c>
      <c r="L561" s="2" t="n">
        <v>17.7</v>
      </c>
      <c r="M561" s="2" t="s">
        <v>131</v>
      </c>
      <c r="N561" s="3" t="n">
        <v>27</v>
      </c>
      <c r="O561" s="3" t="n">
        <v>-19.394</v>
      </c>
      <c r="P561" s="3" t="n">
        <v>-70.321</v>
      </c>
      <c r="Q561" s="3" t="s">
        <v>1080</v>
      </c>
      <c r="R561" s="2" t="s">
        <v>37</v>
      </c>
      <c r="S561" s="2" t="s">
        <v>377</v>
      </c>
      <c r="T561" s="4" t="n">
        <f aca="false">DATE(VALUE(MID(C561,7,4)),VALUE(MID(C561,4,2)),VALUE(MID(C561,1,2)))+TIME(VALUE(MID(C561,12,2)),VALUE(MID(C561,15,2)),0)</f>
        <v>40130.1284722222</v>
      </c>
      <c r="U561" s="2" t="str">
        <f aca="false">IF(AND(ISNUMBER(VALUE(MID(A561,7,1))),ISNUMBER(SEARCH("km",A561)),ISNUMBER(SEARCH("of",A561))),"Distance-location","Named-region")</f>
        <v>Named-region</v>
      </c>
      <c r="V561" s="2" t="str">
        <f aca="false">LOWER(M561)</f>
        <v>mwc</v>
      </c>
      <c r="W561" s="5" t="str">
        <f aca="false">IF(COUNTIFS($A$2:$A$1001,A561,$C$2:$C$1001,C561)&gt;1,"Duplicate","Unique")</f>
        <v>Unique</v>
      </c>
    </row>
    <row r="562" customFormat="false" ht="15" hidden="false" customHeight="false" outlineLevel="0" collapsed="false">
      <c r="A562" s="2" t="s">
        <v>1507</v>
      </c>
      <c r="B562" s="3" t="n">
        <v>7.3</v>
      </c>
      <c r="C562" s="2" t="s">
        <v>1508</v>
      </c>
      <c r="D562" s="2" t="n">
        <v>0</v>
      </c>
      <c r="E562" s="2" t="n">
        <v>4</v>
      </c>
      <c r="F562" s="2"/>
      <c r="G562" s="2" t="n">
        <v>0</v>
      </c>
      <c r="H562" s="2" t="n">
        <v>820</v>
      </c>
      <c r="I562" s="2" t="s">
        <v>26</v>
      </c>
      <c r="J562" s="2" t="n">
        <v>430</v>
      </c>
      <c r="K562" s="2" t="n">
        <v>0</v>
      </c>
      <c r="L562" s="2" t="n">
        <v>15</v>
      </c>
      <c r="M562" s="2" t="s">
        <v>131</v>
      </c>
      <c r="N562" s="3" t="n">
        <v>595</v>
      </c>
      <c r="O562" s="3" t="n">
        <v>-17.239</v>
      </c>
      <c r="P562" s="3" t="n">
        <v>178.331</v>
      </c>
      <c r="Q562" s="3" t="s">
        <v>1509</v>
      </c>
      <c r="R562" s="2"/>
      <c r="S562" s="2" t="s">
        <v>150</v>
      </c>
      <c r="T562" s="4" t="n">
        <f aca="false">DATE(VALUE(MID(C562,7,4)),VALUE(MID(C562,4,2)),VALUE(MID(C562,1,2)))+TIME(VALUE(MID(C562,12,2)),VALUE(MID(C562,15,2)),0)</f>
        <v>40126.4472222222</v>
      </c>
      <c r="U562" s="2" t="str">
        <f aca="false">IF(AND(ISNUMBER(VALUE(MID(A562,7,1))),ISNUMBER(SEARCH("km",A562)),ISNUMBER(SEARCH("of",A562))),"Distance-location","Named-region")</f>
        <v>Named-region</v>
      </c>
      <c r="V562" s="2" t="str">
        <f aca="false">LOWER(M562)</f>
        <v>mwc</v>
      </c>
      <c r="W562" s="5" t="str">
        <f aca="false">IF(COUNTIFS($A$2:$A$1001,A562,$C$2:$C$1001,C562)&gt;1,"Duplicate","Unique")</f>
        <v>Unique</v>
      </c>
    </row>
    <row r="563" customFormat="false" ht="15" hidden="false" customHeight="false" outlineLevel="0" collapsed="false">
      <c r="A563" s="2" t="s">
        <v>1510</v>
      </c>
      <c r="B563" s="3" t="n">
        <v>6.6</v>
      </c>
      <c r="C563" s="2" t="s">
        <v>1511</v>
      </c>
      <c r="D563" s="2" t="n">
        <v>7</v>
      </c>
      <c r="E563" s="2" t="n">
        <v>6</v>
      </c>
      <c r="F563" s="2"/>
      <c r="G563" s="2" t="n">
        <v>0</v>
      </c>
      <c r="H563" s="2" t="n">
        <v>677</v>
      </c>
      <c r="I563" s="2" t="s">
        <v>26</v>
      </c>
      <c r="J563" s="2" t="n">
        <v>305</v>
      </c>
      <c r="K563" s="2" t="n">
        <v>0</v>
      </c>
      <c r="L563" s="2" t="n">
        <v>20.4</v>
      </c>
      <c r="M563" s="2" t="s">
        <v>131</v>
      </c>
      <c r="N563" s="3" t="n">
        <v>18</v>
      </c>
      <c r="O563" s="3" t="n">
        <v>-8.207</v>
      </c>
      <c r="P563" s="3" t="n">
        <v>118.631</v>
      </c>
      <c r="Q563" s="3" t="s">
        <v>1512</v>
      </c>
      <c r="R563" s="2"/>
      <c r="S563" s="2" t="s">
        <v>72</v>
      </c>
      <c r="T563" s="4" t="n">
        <f aca="false">DATE(VALUE(MID(C563,7,4)),VALUE(MID(C563,4,2)),VALUE(MID(C563,1,2)))+TIME(VALUE(MID(C563,12,2)),VALUE(MID(C563,15,2)),0)</f>
        <v>40125.8201388889</v>
      </c>
      <c r="U563" s="2" t="str">
        <f aca="false">IF(AND(ISNUMBER(VALUE(MID(A563,7,1))),ISNUMBER(SEARCH("km",A563)),ISNUMBER(SEARCH("of",A563))),"Distance-location","Named-region")</f>
        <v>Named-region</v>
      </c>
      <c r="V563" s="2" t="str">
        <f aca="false">LOWER(M563)</f>
        <v>mwc</v>
      </c>
      <c r="W563" s="5" t="str">
        <f aca="false">IF(COUNTIFS($A$2:$A$1001,A563,$C$2:$C$1001,C563)&gt;1,"Duplicate","Unique")</f>
        <v>Unique</v>
      </c>
    </row>
    <row r="564" customFormat="false" ht="15" hidden="false" customHeight="false" outlineLevel="0" collapsed="false">
      <c r="A564" s="2" t="s">
        <v>1513</v>
      </c>
      <c r="B564" s="3" t="n">
        <v>6.8</v>
      </c>
      <c r="C564" s="2" t="s">
        <v>1514</v>
      </c>
      <c r="D564" s="2" t="n">
        <v>0</v>
      </c>
      <c r="E564" s="2" t="n">
        <v>6</v>
      </c>
      <c r="F564" s="2"/>
      <c r="G564" s="2" t="n">
        <v>0</v>
      </c>
      <c r="H564" s="2" t="n">
        <v>711</v>
      </c>
      <c r="I564" s="2" t="s">
        <v>26</v>
      </c>
      <c r="J564" s="2" t="n">
        <v>424</v>
      </c>
      <c r="K564" s="2" t="n">
        <v>0</v>
      </c>
      <c r="L564" s="2" t="n">
        <v>21.4</v>
      </c>
      <c r="M564" s="2" t="s">
        <v>131</v>
      </c>
      <c r="N564" s="3" t="n">
        <v>34</v>
      </c>
      <c r="O564" s="3" t="n">
        <v>29.218</v>
      </c>
      <c r="P564" s="3" t="n">
        <v>129.782</v>
      </c>
      <c r="Q564" s="3" t="s">
        <v>405</v>
      </c>
      <c r="R564" s="2"/>
      <c r="S564" s="2"/>
      <c r="T564" s="4" t="n">
        <f aca="false">DATE(VALUE(MID(C564,7,4)),VALUE(MID(C564,4,2)),VALUE(MID(C564,1,2)))+TIME(VALUE(MID(C564,12,2)),VALUE(MID(C564,15,2)),0)</f>
        <v>40116.29375</v>
      </c>
      <c r="U564" s="2" t="str">
        <f aca="false">IF(AND(ISNUMBER(VALUE(MID(A564,7,1))),ISNUMBER(SEARCH("km",A564)),ISNUMBER(SEARCH("of",A564))),"Distance-location","Named-region")</f>
        <v>Named-region</v>
      </c>
      <c r="V564" s="2" t="str">
        <f aca="false">LOWER(M564)</f>
        <v>mwc</v>
      </c>
      <c r="W564" s="5" t="str">
        <f aca="false">IF(COUNTIFS($A$2:$A$1001,A564,$C$2:$C$1001,C564)&gt;1,"Duplicate","Unique")</f>
        <v>Unique</v>
      </c>
    </row>
    <row r="565" customFormat="false" ht="15" hidden="false" customHeight="false" outlineLevel="0" collapsed="false">
      <c r="A565" s="2" t="s">
        <v>1515</v>
      </c>
      <c r="B565" s="3" t="n">
        <v>6.9</v>
      </c>
      <c r="C565" s="2" t="s">
        <v>1516</v>
      </c>
      <c r="D565" s="2" t="n">
        <v>4</v>
      </c>
      <c r="E565" s="2" t="n">
        <v>6</v>
      </c>
      <c r="F565" s="2"/>
      <c r="G565" s="2" t="n">
        <v>0</v>
      </c>
      <c r="H565" s="2" t="n">
        <v>972</v>
      </c>
      <c r="I565" s="2" t="s">
        <v>26</v>
      </c>
      <c r="J565" s="2" t="n">
        <v>397</v>
      </c>
      <c r="K565" s="2" t="n">
        <v>0</v>
      </c>
      <c r="L565" s="2" t="n">
        <v>11</v>
      </c>
      <c r="M565" s="2" t="s">
        <v>131</v>
      </c>
      <c r="N565" s="3" t="n">
        <v>130</v>
      </c>
      <c r="O565" s="3" t="n">
        <v>-6.133</v>
      </c>
      <c r="P565" s="3" t="n">
        <v>130.385</v>
      </c>
      <c r="Q565" s="3" t="s">
        <v>1256</v>
      </c>
      <c r="R565" s="2"/>
      <c r="S565" s="2" t="s">
        <v>72</v>
      </c>
      <c r="T565" s="4" t="n">
        <f aca="false">DATE(VALUE(MID(C565,7,4)),VALUE(MID(C565,4,2)),VALUE(MID(C565,1,2)))+TIME(VALUE(MID(C565,12,2)),VALUE(MID(C565,15,2)),0)</f>
        <v>40110.6111111111</v>
      </c>
      <c r="U565" s="2" t="str">
        <f aca="false">IF(AND(ISNUMBER(VALUE(MID(A565,7,1))),ISNUMBER(SEARCH("km",A565)),ISNUMBER(SEARCH("of",A565))),"Distance-location","Named-region")</f>
        <v>Named-region</v>
      </c>
      <c r="V565" s="2" t="str">
        <f aca="false">LOWER(M565)</f>
        <v>mwc</v>
      </c>
      <c r="W565" s="5" t="str">
        <f aca="false">IF(COUNTIFS($A$2:$A$1001,A565,$C$2:$C$1001,C565)&gt;1,"Duplicate","Unique")</f>
        <v>Unique</v>
      </c>
    </row>
    <row r="566" customFormat="false" ht="15" hidden="false" customHeight="false" outlineLevel="0" collapsed="false">
      <c r="A566" s="2" t="s">
        <v>1517</v>
      </c>
      <c r="B566" s="3" t="n">
        <v>6.8</v>
      </c>
      <c r="C566" s="2" t="s">
        <v>1518</v>
      </c>
      <c r="D566" s="2" t="n">
        <v>0</v>
      </c>
      <c r="E566" s="2" t="n">
        <v>5</v>
      </c>
      <c r="F566" s="2"/>
      <c r="G566" s="2" t="n">
        <v>0</v>
      </c>
      <c r="H566" s="2" t="n">
        <v>711</v>
      </c>
      <c r="I566" s="2" t="s">
        <v>26</v>
      </c>
      <c r="J566" s="2" t="n">
        <v>174</v>
      </c>
      <c r="K566" s="2" t="n">
        <v>0</v>
      </c>
      <c r="L566" s="2" t="n">
        <v>30.2</v>
      </c>
      <c r="M566" s="2" t="s">
        <v>131</v>
      </c>
      <c r="N566" s="3" t="n">
        <v>35</v>
      </c>
      <c r="O566" s="3" t="n">
        <v>-13.298</v>
      </c>
      <c r="P566" s="3" t="n">
        <v>165.91</v>
      </c>
      <c r="Q566" s="3" t="s">
        <v>28</v>
      </c>
      <c r="R566" s="2"/>
      <c r="S566" s="2"/>
      <c r="T566" s="4" t="n">
        <f aca="false">DATE(VALUE(MID(C566,7,4)),VALUE(MID(C566,4,2)),VALUE(MID(C566,1,2)))+TIME(VALUE(MID(C566,12,2)),VALUE(MID(C566,15,2)),0)</f>
        <v>40094.3527777778</v>
      </c>
      <c r="U566" s="2" t="str">
        <f aca="false">IF(AND(ISNUMBER(VALUE(MID(A566,7,1))),ISNUMBER(SEARCH("km",A566)),ISNUMBER(SEARCH("of",A566))),"Distance-location","Named-region")</f>
        <v>Named-region</v>
      </c>
      <c r="V566" s="2" t="str">
        <f aca="false">LOWER(M566)</f>
        <v>mwc</v>
      </c>
      <c r="W566" s="5" t="str">
        <f aca="false">IF(COUNTIFS($A$2:$A$1001,A566,$C$2:$C$1001,C566)&gt;1,"Duplicate","Unique")</f>
        <v>Unique</v>
      </c>
    </row>
    <row r="567" customFormat="false" ht="15" hidden="false" customHeight="false" outlineLevel="0" collapsed="false">
      <c r="A567" s="2" t="s">
        <v>1519</v>
      </c>
      <c r="B567" s="3" t="n">
        <v>7.4</v>
      </c>
      <c r="C567" s="2" t="s">
        <v>1520</v>
      </c>
      <c r="D567" s="2" t="n">
        <v>0</v>
      </c>
      <c r="E567" s="2" t="n">
        <v>7</v>
      </c>
      <c r="F567" s="2"/>
      <c r="G567" s="2" t="n">
        <v>0</v>
      </c>
      <c r="H567" s="2" t="n">
        <v>842</v>
      </c>
      <c r="I567" s="2" t="s">
        <v>26</v>
      </c>
      <c r="J567" s="2" t="n">
        <v>314</v>
      </c>
      <c r="K567" s="2" t="n">
        <v>0</v>
      </c>
      <c r="L567" s="2" t="n">
        <v>20.2</v>
      </c>
      <c r="M567" s="2" t="s">
        <v>131</v>
      </c>
      <c r="N567" s="3" t="n">
        <v>31.1</v>
      </c>
      <c r="O567" s="3" t="n">
        <v>-13.093</v>
      </c>
      <c r="P567" s="3" t="n">
        <v>166.497</v>
      </c>
      <c r="Q567" s="3" t="s">
        <v>28</v>
      </c>
      <c r="R567" s="2"/>
      <c r="S567" s="2" t="s">
        <v>29</v>
      </c>
      <c r="T567" s="4" t="n">
        <f aca="false">DATE(VALUE(MID(C567,7,4)),VALUE(MID(C567,4,2)),VALUE(MID(C567,1,2)))+TIME(VALUE(MID(C567,12,2)),VALUE(MID(C567,15,2)),0)</f>
        <v>40093.9673611111</v>
      </c>
      <c r="U567" s="2" t="str">
        <f aca="false">IF(AND(ISNUMBER(VALUE(MID(A567,7,1))),ISNUMBER(SEARCH("km",A567)),ISNUMBER(SEARCH("of",A567))),"Distance-location","Named-region")</f>
        <v>Named-region</v>
      </c>
      <c r="V567" s="2" t="str">
        <f aca="false">LOWER(M567)</f>
        <v>mwc</v>
      </c>
      <c r="W567" s="5" t="str">
        <f aca="false">IF(COUNTIFS($A$2:$A$1001,A567,$C$2:$C$1001,C567)&gt;1,"Duplicate","Unique")</f>
        <v>Unique</v>
      </c>
    </row>
    <row r="568" customFormat="false" ht="15" hidden="false" customHeight="false" outlineLevel="0" collapsed="false">
      <c r="A568" s="2" t="s">
        <v>1521</v>
      </c>
      <c r="B568" s="3" t="n">
        <v>7.8</v>
      </c>
      <c r="C568" s="2" t="s">
        <v>1522</v>
      </c>
      <c r="D568" s="2" t="n">
        <v>0</v>
      </c>
      <c r="E568" s="2" t="n">
        <v>6</v>
      </c>
      <c r="F568" s="2"/>
      <c r="G568" s="2" t="n">
        <v>0</v>
      </c>
      <c r="H568" s="2" t="n">
        <v>936</v>
      </c>
      <c r="I568" s="2" t="s">
        <v>26</v>
      </c>
      <c r="J568" s="2" t="n">
        <v>195</v>
      </c>
      <c r="K568" s="2" t="n">
        <v>0</v>
      </c>
      <c r="L568" s="2" t="n">
        <v>20.3</v>
      </c>
      <c r="M568" s="2" t="s">
        <v>131</v>
      </c>
      <c r="N568" s="3" t="n">
        <v>35</v>
      </c>
      <c r="O568" s="3" t="n">
        <v>-12.517</v>
      </c>
      <c r="P568" s="3" t="n">
        <v>166.382</v>
      </c>
      <c r="Q568" s="3" t="s">
        <v>28</v>
      </c>
      <c r="R568" s="2"/>
      <c r="S568" s="2"/>
      <c r="T568" s="4" t="n">
        <f aca="false">DATE(VALUE(MID(C568,7,4)),VALUE(MID(C568,4,2)),VALUE(MID(C568,1,2)))+TIME(VALUE(MID(C568,12,2)),VALUE(MID(C568,15,2)),0)</f>
        <v>40093.9291666667</v>
      </c>
      <c r="U568" s="2" t="str">
        <f aca="false">IF(AND(ISNUMBER(VALUE(MID(A568,7,1))),ISNUMBER(SEARCH("km",A568)),ISNUMBER(SEARCH("of",A568))),"Distance-location","Named-region")</f>
        <v>Named-region</v>
      </c>
      <c r="V568" s="2" t="str">
        <f aca="false">LOWER(M568)</f>
        <v>mwc</v>
      </c>
      <c r="W568" s="5" t="str">
        <f aca="false">IF(COUNTIFS($A$2:$A$1001,A568,$C$2:$C$1001,C568)&gt;1,"Duplicate","Unique")</f>
        <v>Unique</v>
      </c>
    </row>
    <row r="569" customFormat="false" ht="15" hidden="false" customHeight="false" outlineLevel="0" collapsed="false">
      <c r="A569" s="2" t="s">
        <v>1523</v>
      </c>
      <c r="B569" s="3" t="n">
        <v>7.7</v>
      </c>
      <c r="C569" s="2" t="s">
        <v>1524</v>
      </c>
      <c r="D569" s="2" t="n">
        <v>4</v>
      </c>
      <c r="E569" s="2" t="n">
        <v>7</v>
      </c>
      <c r="F569" s="2"/>
      <c r="G569" s="2" t="n">
        <v>0</v>
      </c>
      <c r="H569" s="2" t="n">
        <v>916</v>
      </c>
      <c r="I569" s="2" t="s">
        <v>26</v>
      </c>
      <c r="J569" s="2" t="n">
        <v>283</v>
      </c>
      <c r="K569" s="2" t="n">
        <v>0</v>
      </c>
      <c r="L569" s="2" t="n">
        <v>23.2</v>
      </c>
      <c r="M569" s="2" t="s">
        <v>27</v>
      </c>
      <c r="N569" s="3" t="n">
        <v>45</v>
      </c>
      <c r="O569" s="3" t="n">
        <v>-13.006</v>
      </c>
      <c r="P569" s="3" t="n">
        <v>166.51</v>
      </c>
      <c r="Q569" s="3" t="s">
        <v>28</v>
      </c>
      <c r="R569" s="2"/>
      <c r="S569" s="2" t="s">
        <v>29</v>
      </c>
      <c r="T569" s="4" t="n">
        <f aca="false">DATE(VALUE(MID(C569,7,4)),VALUE(MID(C569,4,2)),VALUE(MID(C569,1,2)))+TIME(VALUE(MID(C569,12,2)),VALUE(MID(C569,15,2)),0)</f>
        <v>40093.91875</v>
      </c>
      <c r="U569" s="2" t="str">
        <f aca="false">IF(AND(ISNUMBER(VALUE(MID(A569,7,1))),ISNUMBER(SEARCH("km",A569)),ISNUMBER(SEARCH("of",A569))),"Distance-location","Named-region")</f>
        <v>Named-region</v>
      </c>
      <c r="V569" s="2" t="str">
        <f aca="false">LOWER(M569)</f>
        <v>mww</v>
      </c>
      <c r="W569" s="5" t="str">
        <f aca="false">IF(COUNTIFS($A$2:$A$1001,A569,$C$2:$C$1001,C569)&gt;1,"Duplicate","Unique")</f>
        <v>Unique</v>
      </c>
    </row>
    <row r="570" customFormat="false" ht="15" hidden="false" customHeight="false" outlineLevel="0" collapsed="false">
      <c r="A570" s="2" t="s">
        <v>1525</v>
      </c>
      <c r="B570" s="3" t="n">
        <v>6.6</v>
      </c>
      <c r="C570" s="2" t="s">
        <v>1526</v>
      </c>
      <c r="D570" s="2" t="n">
        <v>7</v>
      </c>
      <c r="E570" s="2" t="n">
        <v>7</v>
      </c>
      <c r="F570" s="2"/>
      <c r="G570" s="2" t="n">
        <v>0</v>
      </c>
      <c r="H570" s="2" t="n">
        <v>787</v>
      </c>
      <c r="I570" s="2" t="s">
        <v>26</v>
      </c>
      <c r="J570" s="2" t="n">
        <v>417</v>
      </c>
      <c r="K570" s="2" t="n">
        <v>0</v>
      </c>
      <c r="L570" s="2" t="n">
        <v>30.1</v>
      </c>
      <c r="M570" s="2" t="s">
        <v>131</v>
      </c>
      <c r="N570" s="3" t="n">
        <v>9</v>
      </c>
      <c r="O570" s="3" t="n">
        <v>-2.482</v>
      </c>
      <c r="P570" s="3" t="n">
        <v>101.524</v>
      </c>
      <c r="Q570" s="3" t="s">
        <v>813</v>
      </c>
      <c r="R570" s="2"/>
      <c r="S570" s="2" t="s">
        <v>72</v>
      </c>
      <c r="T570" s="4" t="n">
        <f aca="false">DATE(VALUE(MID(C570,7,4)),VALUE(MID(C570,4,2)),VALUE(MID(C570,1,2)))+TIME(VALUE(MID(C570,12,2)),VALUE(MID(C570,15,2)),0)</f>
        <v>40087.0777777778</v>
      </c>
      <c r="U570" s="2" t="str">
        <f aca="false">IF(AND(ISNUMBER(VALUE(MID(A570,7,1))),ISNUMBER(SEARCH("km",A570)),ISNUMBER(SEARCH("of",A570))),"Distance-location","Named-region")</f>
        <v>Named-region</v>
      </c>
      <c r="V570" s="2" t="str">
        <f aca="false">LOWER(M570)</f>
        <v>mwc</v>
      </c>
      <c r="W570" s="5" t="str">
        <f aca="false">IF(COUNTIFS($A$2:$A$1001,A570,$C$2:$C$1001,C570)&gt;1,"Duplicate","Unique")</f>
        <v>Unique</v>
      </c>
    </row>
    <row r="571" customFormat="false" ht="15" hidden="false" customHeight="false" outlineLevel="0" collapsed="false">
      <c r="A571" s="2" t="s">
        <v>1527</v>
      </c>
      <c r="B571" s="3" t="n">
        <v>7.6</v>
      </c>
      <c r="C571" s="2" t="s">
        <v>1528</v>
      </c>
      <c r="D571" s="2" t="n">
        <v>8</v>
      </c>
      <c r="E571" s="2" t="n">
        <v>8</v>
      </c>
      <c r="F571" s="2"/>
      <c r="G571" s="2" t="n">
        <v>0</v>
      </c>
      <c r="H571" s="2" t="n">
        <v>1639</v>
      </c>
      <c r="I571" s="2" t="s">
        <v>26</v>
      </c>
      <c r="J571" s="2" t="n">
        <v>498</v>
      </c>
      <c r="K571" s="2" t="n">
        <v>0</v>
      </c>
      <c r="L571" s="2" t="n">
        <v>14</v>
      </c>
      <c r="M571" s="2" t="s">
        <v>131</v>
      </c>
      <c r="N571" s="3" t="n">
        <v>81</v>
      </c>
      <c r="O571" s="3" t="n">
        <v>-0.72</v>
      </c>
      <c r="P571" s="3" t="n">
        <v>99.867</v>
      </c>
      <c r="Q571" s="3" t="s">
        <v>224</v>
      </c>
      <c r="R571" s="2"/>
      <c r="S571" s="2" t="s">
        <v>72</v>
      </c>
      <c r="T571" s="4" t="n">
        <f aca="false">DATE(VALUE(MID(C571,7,4)),VALUE(MID(C571,4,2)),VALUE(MID(C571,1,2)))+TIME(VALUE(MID(C571,12,2)),VALUE(MID(C571,15,2)),0)</f>
        <v>40086.4277777778</v>
      </c>
      <c r="U571" s="2" t="str">
        <f aca="false">IF(AND(ISNUMBER(VALUE(MID(A571,7,1))),ISNUMBER(SEARCH("km",A571)),ISNUMBER(SEARCH("of",A571))),"Distance-location","Named-region")</f>
        <v>Named-region</v>
      </c>
      <c r="V571" s="2" t="str">
        <f aca="false">LOWER(M571)</f>
        <v>mwc</v>
      </c>
      <c r="W571" s="5" t="str">
        <f aca="false">IF(COUNTIFS($A$2:$A$1001,A571,$C$2:$C$1001,C571)&gt;1,"Duplicate","Unique")</f>
        <v>Unique</v>
      </c>
    </row>
    <row r="572" customFormat="false" ht="15" hidden="false" customHeight="false" outlineLevel="0" collapsed="false">
      <c r="A572" s="2" t="s">
        <v>1529</v>
      </c>
      <c r="B572" s="3" t="n">
        <v>8.1</v>
      </c>
      <c r="C572" s="2" t="s">
        <v>1530</v>
      </c>
      <c r="D572" s="2" t="n">
        <v>7</v>
      </c>
      <c r="E572" s="2" t="n">
        <v>6</v>
      </c>
      <c r="F572" s="2"/>
      <c r="G572" s="2" t="n">
        <v>0</v>
      </c>
      <c r="H572" s="2" t="n">
        <v>1055</v>
      </c>
      <c r="I572" s="2" t="s">
        <v>26</v>
      </c>
      <c r="J572" s="2" t="n">
        <v>520</v>
      </c>
      <c r="K572" s="2" t="n">
        <v>0</v>
      </c>
      <c r="L572" s="2" t="n">
        <v>20.8</v>
      </c>
      <c r="M572" s="2" t="s">
        <v>131</v>
      </c>
      <c r="N572" s="3" t="n">
        <v>18</v>
      </c>
      <c r="O572" s="3" t="n">
        <v>-15.489</v>
      </c>
      <c r="P572" s="3" t="n">
        <v>-172.095</v>
      </c>
      <c r="Q572" s="3" t="s">
        <v>1531</v>
      </c>
      <c r="R572" s="2"/>
      <c r="S572" s="2"/>
      <c r="T572" s="4" t="n">
        <f aca="false">DATE(VALUE(MID(C572,7,4)),VALUE(MID(C572,4,2)),VALUE(MID(C572,1,2)))+TIME(VALUE(MID(C572,12,2)),VALUE(MID(C572,15,2)),0)</f>
        <v>40085.7416666667</v>
      </c>
      <c r="U572" s="2" t="str">
        <f aca="false">IF(AND(ISNUMBER(VALUE(MID(A572,7,1))),ISNUMBER(SEARCH("km",A572)),ISNUMBER(SEARCH("of",A572))),"Distance-location","Named-region")</f>
        <v>Named-region</v>
      </c>
      <c r="V572" s="2" t="str">
        <f aca="false">LOWER(M572)</f>
        <v>mwc</v>
      </c>
      <c r="W572" s="5" t="str">
        <f aca="false">IF(COUNTIFS($A$2:$A$1001,A572,$C$2:$C$1001,C572)&gt;1,"Duplicate","Unique")</f>
        <v>Unique</v>
      </c>
    </row>
    <row r="573" customFormat="false" ht="15" hidden="false" customHeight="false" outlineLevel="0" collapsed="false">
      <c r="A573" s="2" t="s">
        <v>1532</v>
      </c>
      <c r="B573" s="3" t="n">
        <v>7</v>
      </c>
      <c r="C573" s="2" t="s">
        <v>1533</v>
      </c>
      <c r="D573" s="2" t="n">
        <v>7</v>
      </c>
      <c r="E573" s="2" t="n">
        <v>7</v>
      </c>
      <c r="F573" s="2"/>
      <c r="G573" s="2" t="n">
        <v>0</v>
      </c>
      <c r="H573" s="2" t="n">
        <v>1175</v>
      </c>
      <c r="I573" s="2" t="s">
        <v>26</v>
      </c>
      <c r="J573" s="2" t="n">
        <v>312</v>
      </c>
      <c r="K573" s="2" t="n">
        <v>0</v>
      </c>
      <c r="L573" s="2" t="n">
        <v>16.3</v>
      </c>
      <c r="M573" s="2" t="s">
        <v>131</v>
      </c>
      <c r="N573" s="3" t="n">
        <v>46</v>
      </c>
      <c r="O573" s="3" t="n">
        <v>-7.782</v>
      </c>
      <c r="P573" s="3" t="n">
        <v>107.297</v>
      </c>
      <c r="Q573" s="3" t="s">
        <v>1534</v>
      </c>
      <c r="R573" s="2"/>
      <c r="S573" s="2" t="s">
        <v>72</v>
      </c>
      <c r="T573" s="4" t="n">
        <f aca="false">DATE(VALUE(MID(C573,7,4)),VALUE(MID(C573,4,2)),VALUE(MID(C573,1,2)))+TIME(VALUE(MID(C573,12,2)),VALUE(MID(C573,15,2)),0)</f>
        <v>40058.3298611111</v>
      </c>
      <c r="U573" s="2" t="str">
        <f aca="false">IF(AND(ISNUMBER(VALUE(MID(A573,7,1))),ISNUMBER(SEARCH("km",A573)),ISNUMBER(SEARCH("of",A573))),"Distance-location","Named-region")</f>
        <v>Named-region</v>
      </c>
      <c r="V573" s="2" t="str">
        <f aca="false">LOWER(M573)</f>
        <v>mwc</v>
      </c>
      <c r="W573" s="5" t="str">
        <f aca="false">IF(COUNTIFS($A$2:$A$1001,A573,$C$2:$C$1001,C573)&gt;1,"Duplicate","Unique")</f>
        <v>Unique</v>
      </c>
    </row>
    <row r="574" customFormat="false" ht="15" hidden="false" customHeight="false" outlineLevel="0" collapsed="false">
      <c r="A574" s="2" t="s">
        <v>1535</v>
      </c>
      <c r="B574" s="3" t="n">
        <v>6.7</v>
      </c>
      <c r="C574" s="2" t="s">
        <v>1536</v>
      </c>
      <c r="D574" s="2" t="n">
        <v>5</v>
      </c>
      <c r="E574" s="2" t="n">
        <v>6</v>
      </c>
      <c r="F574" s="2"/>
      <c r="G574" s="2" t="n">
        <v>0</v>
      </c>
      <c r="H574" s="2" t="n">
        <v>753</v>
      </c>
      <c r="I574" s="2" t="s">
        <v>26</v>
      </c>
      <c r="J574" s="2" t="n">
        <v>369</v>
      </c>
      <c r="K574" s="2" t="n">
        <v>0</v>
      </c>
      <c r="L574" s="2" t="n">
        <v>14.9</v>
      </c>
      <c r="M574" s="2" t="s">
        <v>131</v>
      </c>
      <c r="N574" s="3" t="n">
        <v>20</v>
      </c>
      <c r="O574" s="3" t="n">
        <v>-1.479</v>
      </c>
      <c r="P574" s="3" t="n">
        <v>99.49</v>
      </c>
      <c r="Q574" s="3" t="s">
        <v>1537</v>
      </c>
      <c r="R574" s="2"/>
      <c r="S574" s="2" t="s">
        <v>72</v>
      </c>
      <c r="T574" s="4" t="n">
        <f aca="false">DATE(VALUE(MID(C574,7,4)),VALUE(MID(C574,4,2)),VALUE(MID(C574,1,2)))+TIME(VALUE(MID(C574,12,2)),VALUE(MID(C574,15,2)),0)</f>
        <v>40041.3180555556</v>
      </c>
      <c r="U574" s="2" t="str">
        <f aca="false">IF(AND(ISNUMBER(VALUE(MID(A574,7,1))),ISNUMBER(SEARCH("km",A574)),ISNUMBER(SEARCH("of",A574))),"Distance-location","Named-region")</f>
        <v>Named-region</v>
      </c>
      <c r="V574" s="2" t="str">
        <f aca="false">LOWER(M574)</f>
        <v>mwc</v>
      </c>
      <c r="W574" s="5" t="str">
        <f aca="false">IF(COUNTIFS($A$2:$A$1001,A574,$C$2:$C$1001,C574)&gt;1,"Duplicate","Unique")</f>
        <v>Unique</v>
      </c>
    </row>
    <row r="575" customFormat="false" ht="15" hidden="false" customHeight="false" outlineLevel="0" collapsed="false">
      <c r="A575" s="2" t="s">
        <v>1538</v>
      </c>
      <c r="B575" s="3" t="n">
        <v>6.6</v>
      </c>
      <c r="C575" s="2" t="s">
        <v>1539</v>
      </c>
      <c r="D575" s="2" t="n">
        <v>4</v>
      </c>
      <c r="E575" s="2" t="n">
        <v>5</v>
      </c>
      <c r="F575" s="2"/>
      <c r="G575" s="2" t="n">
        <v>0</v>
      </c>
      <c r="H575" s="2" t="n">
        <v>703</v>
      </c>
      <c r="I575" s="2" t="s">
        <v>26</v>
      </c>
      <c r="J575" s="2" t="n">
        <v>336</v>
      </c>
      <c r="K575" s="2" t="n">
        <v>0</v>
      </c>
      <c r="L575" s="2" t="n">
        <v>14.1</v>
      </c>
      <c r="M575" s="2" t="s">
        <v>131</v>
      </c>
      <c r="N575" s="3" t="n">
        <v>53</v>
      </c>
      <c r="O575" s="3" t="n">
        <v>32.821</v>
      </c>
      <c r="P575" s="3" t="n">
        <v>140.395</v>
      </c>
      <c r="Q575" s="3" t="s">
        <v>1540</v>
      </c>
      <c r="R575" s="2"/>
      <c r="S575" s="2"/>
      <c r="T575" s="4" t="n">
        <f aca="false">DATE(VALUE(MID(C575,7,4)),VALUE(MID(C575,4,2)),VALUE(MID(C575,1,2)))+TIME(VALUE(MID(C575,12,2)),VALUE(MID(C575,15,2)),0)</f>
        <v>40037.95</v>
      </c>
      <c r="U575" s="2" t="str">
        <f aca="false">IF(AND(ISNUMBER(VALUE(MID(A575,7,1))),ISNUMBER(SEARCH("km",A575)),ISNUMBER(SEARCH("of",A575))),"Distance-location","Named-region")</f>
        <v>Named-region</v>
      </c>
      <c r="V575" s="2" t="str">
        <f aca="false">LOWER(M575)</f>
        <v>mwc</v>
      </c>
      <c r="W575" s="5" t="str">
        <f aca="false">IF(COUNTIFS($A$2:$A$1001,A575,$C$2:$C$1001,C575)&gt;1,"Duplicate","Unique")</f>
        <v>Unique</v>
      </c>
    </row>
    <row r="576" customFormat="false" ht="15" hidden="false" customHeight="false" outlineLevel="0" collapsed="false">
      <c r="A576" s="2" t="s">
        <v>1541</v>
      </c>
      <c r="B576" s="3" t="n">
        <v>7.5</v>
      </c>
      <c r="C576" s="2" t="s">
        <v>1542</v>
      </c>
      <c r="D576" s="2" t="n">
        <v>7</v>
      </c>
      <c r="E576" s="2" t="n">
        <v>6</v>
      </c>
      <c r="F576" s="2"/>
      <c r="G576" s="2" t="n">
        <v>0</v>
      </c>
      <c r="H576" s="2" t="n">
        <v>1248</v>
      </c>
      <c r="I576" s="2" t="s">
        <v>26</v>
      </c>
      <c r="J576" s="2" t="n">
        <v>303</v>
      </c>
      <c r="K576" s="2" t="n">
        <v>0</v>
      </c>
      <c r="L576" s="2" t="n">
        <v>18.2</v>
      </c>
      <c r="M576" s="2" t="s">
        <v>131</v>
      </c>
      <c r="N576" s="3" t="n">
        <v>24</v>
      </c>
      <c r="O576" s="3" t="n">
        <v>14.099</v>
      </c>
      <c r="P576" s="3" t="n">
        <v>92.902</v>
      </c>
      <c r="Q576" s="3" t="s">
        <v>1468</v>
      </c>
      <c r="R576" s="2"/>
      <c r="S576" s="2"/>
      <c r="T576" s="4" t="n">
        <f aca="false">DATE(VALUE(MID(C576,7,4)),VALUE(MID(C576,4,2)),VALUE(MID(C576,1,2)))+TIME(VALUE(MID(C576,12,2)),VALUE(MID(C576,15,2)),0)</f>
        <v>40035.8298611111</v>
      </c>
      <c r="U576" s="2" t="str">
        <f aca="false">IF(AND(ISNUMBER(VALUE(MID(A576,7,1))),ISNUMBER(SEARCH("km",A576)),ISNUMBER(SEARCH("of",A576))),"Distance-location","Named-region")</f>
        <v>Named-region</v>
      </c>
      <c r="V576" s="2" t="str">
        <f aca="false">LOWER(M576)</f>
        <v>mwc</v>
      </c>
      <c r="W576" s="5" t="str">
        <f aca="false">IF(COUNTIFS($A$2:$A$1001,A576,$C$2:$C$1001,C576)&gt;1,"Duplicate","Unique")</f>
        <v>Unique</v>
      </c>
    </row>
    <row r="577" customFormat="false" ht="15" hidden="false" customHeight="false" outlineLevel="0" collapsed="false">
      <c r="A577" s="2" t="s">
        <v>1543</v>
      </c>
      <c r="B577" s="3" t="n">
        <v>7.1</v>
      </c>
      <c r="C577" s="2" t="s">
        <v>1544</v>
      </c>
      <c r="D577" s="2" t="n">
        <v>5</v>
      </c>
      <c r="E577" s="2" t="n">
        <v>4</v>
      </c>
      <c r="F577" s="2"/>
      <c r="G577" s="2" t="n">
        <v>0</v>
      </c>
      <c r="H577" s="2" t="n">
        <v>1005</v>
      </c>
      <c r="I577" s="2" t="s">
        <v>26</v>
      </c>
      <c r="J577" s="2" t="n">
        <v>447</v>
      </c>
      <c r="K577" s="2" t="n">
        <v>0</v>
      </c>
      <c r="L577" s="2" t="n">
        <v>14.2</v>
      </c>
      <c r="M577" s="2" t="s">
        <v>131</v>
      </c>
      <c r="N577" s="3" t="n">
        <v>292</v>
      </c>
      <c r="O577" s="3" t="n">
        <v>33.167</v>
      </c>
      <c r="P577" s="3" t="n">
        <v>137.944</v>
      </c>
      <c r="Q577" s="3" t="s">
        <v>1545</v>
      </c>
      <c r="R577" s="2"/>
      <c r="S577" s="2"/>
      <c r="T577" s="4" t="n">
        <f aca="false">DATE(VALUE(MID(C577,7,4)),VALUE(MID(C577,4,2)),VALUE(MID(C577,1,2)))+TIME(VALUE(MID(C577,12,2)),VALUE(MID(C577,15,2)),0)</f>
        <v>40034.4548611111</v>
      </c>
      <c r="U577" s="2" t="str">
        <f aca="false">IF(AND(ISNUMBER(VALUE(MID(A577,7,1))),ISNUMBER(SEARCH("km",A577)),ISNUMBER(SEARCH("of",A577))),"Distance-location","Named-region")</f>
        <v>Named-region</v>
      </c>
      <c r="V577" s="2" t="str">
        <f aca="false">LOWER(M577)</f>
        <v>mwc</v>
      </c>
      <c r="W577" s="5" t="str">
        <f aca="false">IF(COUNTIFS($A$2:$A$1001,A577,$C$2:$C$1001,C577)&gt;1,"Duplicate","Unique")</f>
        <v>Unique</v>
      </c>
    </row>
    <row r="578" customFormat="false" ht="15" hidden="false" customHeight="false" outlineLevel="0" collapsed="false">
      <c r="A578" s="2" t="s">
        <v>1546</v>
      </c>
      <c r="B578" s="3" t="n">
        <v>6.9</v>
      </c>
      <c r="C578" s="2" t="s">
        <v>1547</v>
      </c>
      <c r="D578" s="2" t="n">
        <v>5</v>
      </c>
      <c r="E578" s="2" t="n">
        <v>7</v>
      </c>
      <c r="F578" s="2"/>
      <c r="G578" s="2" t="n">
        <v>0</v>
      </c>
      <c r="H578" s="2" t="n">
        <v>1202</v>
      </c>
      <c r="I578" s="2" t="s">
        <v>26</v>
      </c>
      <c r="J578" s="2" t="n">
        <v>243</v>
      </c>
      <c r="K578" s="2" t="n">
        <v>0</v>
      </c>
      <c r="L578" s="2" t="n">
        <v>35</v>
      </c>
      <c r="M578" s="2" t="s">
        <v>131</v>
      </c>
      <c r="N578" s="3" t="n">
        <v>10</v>
      </c>
      <c r="O578" s="3" t="n">
        <v>29.039</v>
      </c>
      <c r="P578" s="3" t="n">
        <v>-112.903</v>
      </c>
      <c r="Q578" s="3" t="s">
        <v>1548</v>
      </c>
      <c r="R578" s="2" t="s">
        <v>168</v>
      </c>
      <c r="S578" s="2" t="s">
        <v>169</v>
      </c>
      <c r="T578" s="4" t="n">
        <f aca="false">DATE(VALUE(MID(C578,7,4)),VALUE(MID(C578,4,2)),VALUE(MID(C578,1,2)))+TIME(VALUE(MID(C578,12,2)),VALUE(MID(C578,15,2)),0)</f>
        <v>40028.7493055556</v>
      </c>
      <c r="U578" s="2" t="str">
        <f aca="false">IF(AND(ISNUMBER(VALUE(MID(A578,7,1))),ISNUMBER(SEARCH("km",A578)),ISNUMBER(SEARCH("of",A578))),"Distance-location","Named-region")</f>
        <v>Named-region</v>
      </c>
      <c r="V578" s="2" t="str">
        <f aca="false">LOWER(M578)</f>
        <v>mwc</v>
      </c>
      <c r="W578" s="5" t="str">
        <f aca="false">IF(COUNTIFS($A$2:$A$1001,A578,$C$2:$C$1001,C578)&gt;1,"Duplicate","Unique")</f>
        <v>Unique</v>
      </c>
    </row>
    <row r="579" customFormat="false" ht="15" hidden="false" customHeight="false" outlineLevel="0" collapsed="false">
      <c r="A579" s="2" t="s">
        <v>1549</v>
      </c>
      <c r="B579" s="3" t="n">
        <v>7.8</v>
      </c>
      <c r="C579" s="2" t="s">
        <v>1550</v>
      </c>
      <c r="D579" s="2" t="n">
        <v>6</v>
      </c>
      <c r="E579" s="2" t="n">
        <v>8</v>
      </c>
      <c r="F579" s="2"/>
      <c r="G579" s="2" t="n">
        <v>0</v>
      </c>
      <c r="H579" s="2" t="n">
        <v>1165</v>
      </c>
      <c r="I579" s="2" t="s">
        <v>26</v>
      </c>
      <c r="J579" s="2" t="n">
        <v>434</v>
      </c>
      <c r="K579" s="2" t="n">
        <v>0</v>
      </c>
      <c r="L579" s="2" t="n">
        <v>16.8</v>
      </c>
      <c r="M579" s="2" t="s">
        <v>131</v>
      </c>
      <c r="N579" s="3" t="n">
        <v>12</v>
      </c>
      <c r="O579" s="3" t="n">
        <v>-45.762</v>
      </c>
      <c r="P579" s="3" t="n">
        <v>166.562</v>
      </c>
      <c r="Q579" s="3" t="s">
        <v>1551</v>
      </c>
      <c r="R579" s="2"/>
      <c r="S579" s="2" t="s">
        <v>778</v>
      </c>
      <c r="T579" s="4" t="n">
        <f aca="false">DATE(VALUE(MID(C579,7,4)),VALUE(MID(C579,4,2)),VALUE(MID(C579,1,2)))+TIME(VALUE(MID(C579,12,2)),VALUE(MID(C579,15,2)),0)</f>
        <v>40009.3902777778</v>
      </c>
      <c r="U579" s="2" t="str">
        <f aca="false">IF(AND(ISNUMBER(VALUE(MID(A579,7,1))),ISNUMBER(SEARCH("km",A579)),ISNUMBER(SEARCH("of",A579))),"Distance-location","Named-region")</f>
        <v>Named-region</v>
      </c>
      <c r="V579" s="2" t="str">
        <f aca="false">LOWER(M579)</f>
        <v>mwc</v>
      </c>
      <c r="W579" s="5" t="str">
        <f aca="false">IF(COUNTIFS($A$2:$A$1001,A579,$C$2:$C$1001,C579)&gt;1,"Duplicate","Unique")</f>
        <v>Unique</v>
      </c>
    </row>
    <row r="580" customFormat="false" ht="15" hidden="false" customHeight="false" outlineLevel="0" collapsed="false">
      <c r="A580" s="2" t="s">
        <v>1552</v>
      </c>
      <c r="B580" s="3" t="n">
        <v>6.7</v>
      </c>
      <c r="C580" s="2" t="s">
        <v>1553</v>
      </c>
      <c r="D580" s="2" t="n">
        <v>5</v>
      </c>
      <c r="E580" s="2" t="n">
        <v>5</v>
      </c>
      <c r="F580" s="2"/>
      <c r="G580" s="2" t="n">
        <v>0</v>
      </c>
      <c r="H580" s="2" t="n">
        <v>693</v>
      </c>
      <c r="I580" s="2" t="s">
        <v>26</v>
      </c>
      <c r="J580" s="2" t="n">
        <v>269</v>
      </c>
      <c r="K580" s="2" t="n">
        <v>0</v>
      </c>
      <c r="L580" s="2" t="n">
        <v>13.8</v>
      </c>
      <c r="M580" s="2" t="s">
        <v>131</v>
      </c>
      <c r="N580" s="3" t="n">
        <v>64</v>
      </c>
      <c r="O580" s="3" t="n">
        <v>-5.157</v>
      </c>
      <c r="P580" s="3" t="n">
        <v>153.782</v>
      </c>
      <c r="Q580" s="3" t="s">
        <v>629</v>
      </c>
      <c r="R580" s="2"/>
      <c r="S580" s="2" t="s">
        <v>89</v>
      </c>
      <c r="T580" s="4" t="n">
        <f aca="false">DATE(VALUE(MID(C580,7,4)),VALUE(MID(C580,4,2)),VALUE(MID(C580,1,2)))+TIME(VALUE(MID(C580,12,2)),VALUE(MID(C580,15,2)),0)</f>
        <v>39987.5965277778</v>
      </c>
      <c r="U580" s="2" t="str">
        <f aca="false">IF(AND(ISNUMBER(VALUE(MID(A580,7,1))),ISNUMBER(SEARCH("km",A580)),ISNUMBER(SEARCH("of",A580))),"Distance-location","Named-region")</f>
        <v>Named-region</v>
      </c>
      <c r="V580" s="2" t="str">
        <f aca="false">LOWER(M580)</f>
        <v>mwc</v>
      </c>
      <c r="W580" s="5" t="str">
        <f aca="false">IF(COUNTIFS($A$2:$A$1001,A580,$C$2:$C$1001,C580)&gt;1,"Duplicate","Unique")</f>
        <v>Unique</v>
      </c>
    </row>
    <row r="581" customFormat="false" ht="15" hidden="false" customHeight="false" outlineLevel="0" collapsed="false">
      <c r="A581" s="2" t="s">
        <v>1554</v>
      </c>
      <c r="B581" s="3" t="n">
        <v>7.3</v>
      </c>
      <c r="C581" s="2" t="s">
        <v>1555</v>
      </c>
      <c r="D581" s="2" t="n">
        <v>7</v>
      </c>
      <c r="E581" s="2" t="n">
        <v>8</v>
      </c>
      <c r="F581" s="2"/>
      <c r="G581" s="2" t="n">
        <v>0</v>
      </c>
      <c r="H581" s="2" t="n">
        <v>1560</v>
      </c>
      <c r="I581" s="2" t="s">
        <v>26</v>
      </c>
      <c r="J581" s="2" t="n">
        <v>464</v>
      </c>
      <c r="K581" s="2" t="n">
        <v>0</v>
      </c>
      <c r="L581" s="2" t="n">
        <v>27.2</v>
      </c>
      <c r="M581" s="2" t="s">
        <v>131</v>
      </c>
      <c r="N581" s="3" t="n">
        <v>19</v>
      </c>
      <c r="O581" s="3" t="n">
        <v>16.731</v>
      </c>
      <c r="P581" s="3" t="n">
        <v>-86.217</v>
      </c>
      <c r="Q581" s="3" t="s">
        <v>1556</v>
      </c>
      <c r="R581" s="2"/>
      <c r="S581" s="2"/>
      <c r="T581" s="4" t="n">
        <f aca="false">DATE(VALUE(MID(C581,7,4)),VALUE(MID(C581,4,2)),VALUE(MID(C581,1,2)))+TIME(VALUE(MID(C581,12,2)),VALUE(MID(C581,15,2)),0)</f>
        <v>39961.35</v>
      </c>
      <c r="U581" s="2" t="str">
        <f aca="false">IF(AND(ISNUMBER(VALUE(MID(A581,7,1))),ISNUMBER(SEARCH("km",A581)),ISNUMBER(SEARCH("of",A581))),"Distance-location","Named-region")</f>
        <v>Named-region</v>
      </c>
      <c r="V581" s="2" t="str">
        <f aca="false">LOWER(M581)</f>
        <v>mwc</v>
      </c>
      <c r="W581" s="5" t="str">
        <f aca="false">IF(COUNTIFS($A$2:$A$1001,A581,$C$2:$C$1001,C581)&gt;1,"Duplicate","Unique")</f>
        <v>Unique</v>
      </c>
    </row>
    <row r="582" customFormat="false" ht="15" hidden="false" customHeight="false" outlineLevel="0" collapsed="false">
      <c r="A582" s="2" t="s">
        <v>1557</v>
      </c>
      <c r="B582" s="3" t="n">
        <v>7.6</v>
      </c>
      <c r="C582" s="2" t="s">
        <v>1558</v>
      </c>
      <c r="D582" s="2" t="n">
        <v>7</v>
      </c>
      <c r="E582" s="2" t="n">
        <v>5</v>
      </c>
      <c r="F582" s="2"/>
      <c r="G582" s="2" t="n">
        <v>0</v>
      </c>
      <c r="H582" s="2" t="n">
        <v>916</v>
      </c>
      <c r="I582" s="2" t="s">
        <v>26</v>
      </c>
      <c r="J582" s="2" t="n">
        <v>504</v>
      </c>
      <c r="K582" s="2" t="n">
        <v>0</v>
      </c>
      <c r="L582" s="2" t="n">
        <v>14</v>
      </c>
      <c r="M582" s="2" t="s">
        <v>131</v>
      </c>
      <c r="N582" s="3" t="n">
        <v>31</v>
      </c>
      <c r="O582" s="3" t="n">
        <v>-23.043</v>
      </c>
      <c r="P582" s="3" t="n">
        <v>-174.66</v>
      </c>
      <c r="Q582" s="3" t="s">
        <v>1559</v>
      </c>
      <c r="R582" s="2"/>
      <c r="S582" s="2"/>
      <c r="T582" s="4" t="n">
        <f aca="false">DATE(VALUE(MID(C582,7,4)),VALUE(MID(C582,4,2)),VALUE(MID(C582,1,2)))+TIME(VALUE(MID(C582,12,2)),VALUE(MID(C582,15,2)),0)</f>
        <v>39891.7618055556</v>
      </c>
      <c r="U582" s="2" t="str">
        <f aca="false">IF(AND(ISNUMBER(VALUE(MID(A582,7,1))),ISNUMBER(SEARCH("km",A582)),ISNUMBER(SEARCH("of",A582))),"Distance-location","Named-region")</f>
        <v>Named-region</v>
      </c>
      <c r="V582" s="2" t="str">
        <f aca="false">LOWER(M582)</f>
        <v>mwc</v>
      </c>
      <c r="W582" s="5" t="str">
        <f aca="false">IF(COUNTIFS($A$2:$A$1001,A582,$C$2:$C$1001,C582)&gt;1,"Duplicate","Unique")</f>
        <v>Unique</v>
      </c>
    </row>
    <row r="583" customFormat="false" ht="15" hidden="false" customHeight="false" outlineLevel="0" collapsed="false">
      <c r="A583" s="2" t="s">
        <v>1560</v>
      </c>
      <c r="B583" s="3" t="n">
        <v>7.2</v>
      </c>
      <c r="C583" s="2" t="s">
        <v>1561</v>
      </c>
      <c r="D583" s="2" t="n">
        <v>3</v>
      </c>
      <c r="E583" s="2" t="n">
        <v>7</v>
      </c>
      <c r="F583" s="2"/>
      <c r="G583" s="2" t="n">
        <v>0</v>
      </c>
      <c r="H583" s="2" t="n">
        <v>802</v>
      </c>
      <c r="I583" s="2" t="s">
        <v>26</v>
      </c>
      <c r="J583" s="2" t="n">
        <v>432</v>
      </c>
      <c r="K583" s="2" t="n">
        <v>0</v>
      </c>
      <c r="L583" s="2" t="n">
        <v>18.6</v>
      </c>
      <c r="M583" s="2" t="s">
        <v>131</v>
      </c>
      <c r="N583" s="3" t="n">
        <v>20</v>
      </c>
      <c r="O583" s="3" t="n">
        <v>3.886</v>
      </c>
      <c r="P583" s="3" t="n">
        <v>126.387</v>
      </c>
      <c r="Q583" s="3" t="s">
        <v>860</v>
      </c>
      <c r="R583" s="2"/>
      <c r="S583" s="2" t="s">
        <v>72</v>
      </c>
      <c r="T583" s="4" t="n">
        <f aca="false">DATE(VALUE(MID(C583,7,4)),VALUE(MID(C583,4,2)),VALUE(MID(C583,1,2)))+TIME(VALUE(MID(C583,12,2)),VALUE(MID(C583,15,2)),0)</f>
        <v>39855.7319444444</v>
      </c>
      <c r="U583" s="2" t="str">
        <f aca="false">IF(AND(ISNUMBER(VALUE(MID(A583,7,1))),ISNUMBER(SEARCH("km",A583)),ISNUMBER(SEARCH("of",A583))),"Distance-location","Named-region")</f>
        <v>Named-region</v>
      </c>
      <c r="V583" s="2" t="str">
        <f aca="false">LOWER(M583)</f>
        <v>mwc</v>
      </c>
      <c r="W583" s="5" t="str">
        <f aca="false">IF(COUNTIFS($A$2:$A$1001,A583,$C$2:$C$1001,C583)&gt;1,"Duplicate","Unique")</f>
        <v>Unique</v>
      </c>
    </row>
    <row r="584" customFormat="false" ht="15" hidden="false" customHeight="false" outlineLevel="0" collapsed="false">
      <c r="A584" s="2" t="s">
        <v>1562</v>
      </c>
      <c r="B584" s="3" t="n">
        <v>7.4</v>
      </c>
      <c r="C584" s="2" t="s">
        <v>1563</v>
      </c>
      <c r="D584" s="2" t="n">
        <v>7</v>
      </c>
      <c r="E584" s="2" t="n">
        <v>7</v>
      </c>
      <c r="F584" s="2"/>
      <c r="G584" s="2" t="n">
        <v>0</v>
      </c>
      <c r="H584" s="2" t="n">
        <v>846</v>
      </c>
      <c r="I584" s="2" t="s">
        <v>26</v>
      </c>
      <c r="J584" s="2" t="n">
        <v>314</v>
      </c>
      <c r="K584" s="2" t="n">
        <v>0</v>
      </c>
      <c r="L584" s="2" t="n">
        <v>21.1</v>
      </c>
      <c r="M584" s="2" t="s">
        <v>131</v>
      </c>
      <c r="N584" s="3" t="n">
        <v>23</v>
      </c>
      <c r="O584" s="3" t="n">
        <v>-0.691</v>
      </c>
      <c r="P584" s="3" t="n">
        <v>133.305</v>
      </c>
      <c r="Q584" s="3" t="s">
        <v>1279</v>
      </c>
      <c r="R584" s="2"/>
      <c r="S584" s="2" t="s">
        <v>72</v>
      </c>
      <c r="T584" s="4" t="n">
        <f aca="false">DATE(VALUE(MID(C584,7,4)),VALUE(MID(C584,4,2)),VALUE(MID(C584,1,2)))+TIME(VALUE(MID(C584,12,2)),VALUE(MID(C584,15,2)),0)</f>
        <v>39816.9395833333</v>
      </c>
      <c r="U584" s="2" t="str">
        <f aca="false">IF(AND(ISNUMBER(VALUE(MID(A584,7,1))),ISNUMBER(SEARCH("km",A584)),ISNUMBER(SEARCH("of",A584))),"Distance-location","Named-region")</f>
        <v>Named-region</v>
      </c>
      <c r="V584" s="2" t="str">
        <f aca="false">LOWER(M584)</f>
        <v>mwc</v>
      </c>
      <c r="W584" s="5" t="str">
        <f aca="false">IF(COUNTIFS($A$2:$A$1001,A584,$C$2:$C$1001,C584)&gt;1,"Duplicate","Unique")</f>
        <v>Unique</v>
      </c>
    </row>
    <row r="585" customFormat="false" ht="15" hidden="false" customHeight="false" outlineLevel="0" collapsed="false">
      <c r="A585" s="2" t="s">
        <v>1564</v>
      </c>
      <c r="B585" s="3" t="n">
        <v>6.6</v>
      </c>
      <c r="C585" s="2" t="s">
        <v>1565</v>
      </c>
      <c r="D585" s="2" t="n">
        <v>5</v>
      </c>
      <c r="E585" s="2" t="n">
        <v>4</v>
      </c>
      <c r="F585" s="2"/>
      <c r="G585" s="2" t="n">
        <v>0</v>
      </c>
      <c r="H585" s="2" t="n">
        <v>765</v>
      </c>
      <c r="I585" s="2" t="s">
        <v>26</v>
      </c>
      <c r="J585" s="2" t="n">
        <v>344</v>
      </c>
      <c r="K585" s="2" t="n">
        <v>0</v>
      </c>
      <c r="L585" s="2" t="n">
        <v>22.6</v>
      </c>
      <c r="M585" s="2" t="s">
        <v>131</v>
      </c>
      <c r="N585" s="3" t="n">
        <v>204.8</v>
      </c>
      <c r="O585" s="3" t="n">
        <v>36.419</v>
      </c>
      <c r="P585" s="3" t="n">
        <v>70.743</v>
      </c>
      <c r="Q585" s="3" t="s">
        <v>95</v>
      </c>
      <c r="R585" s="2" t="s">
        <v>84</v>
      </c>
      <c r="S585" s="2" t="s">
        <v>96</v>
      </c>
      <c r="T585" s="4" t="n">
        <f aca="false">DATE(VALUE(MID(C585,7,4)),VALUE(MID(C585,4,2)),VALUE(MID(C585,1,2)))+TIME(VALUE(MID(C585,12,2)),VALUE(MID(C585,15,2)),0)</f>
        <v>39816.8493055556</v>
      </c>
      <c r="U585" s="2" t="str">
        <f aca="false">IF(AND(ISNUMBER(VALUE(MID(A585,7,1))),ISNUMBER(SEARCH("km",A585)),ISNUMBER(SEARCH("of",A585))),"Distance-location","Named-region")</f>
        <v>Named-region</v>
      </c>
      <c r="V585" s="2" t="str">
        <f aca="false">LOWER(M585)</f>
        <v>mwc</v>
      </c>
      <c r="W585" s="5" t="str">
        <f aca="false">IF(COUNTIFS($A$2:$A$1001,A585,$C$2:$C$1001,C585)&gt;1,"Duplicate","Unique")</f>
        <v>Unique</v>
      </c>
    </row>
    <row r="586" customFormat="false" ht="15" hidden="false" customHeight="false" outlineLevel="0" collapsed="false">
      <c r="A586" s="2" t="s">
        <v>1566</v>
      </c>
      <c r="B586" s="3" t="n">
        <v>7.7</v>
      </c>
      <c r="C586" s="2" t="s">
        <v>1567</v>
      </c>
      <c r="D586" s="2" t="n">
        <v>5</v>
      </c>
      <c r="E586" s="2" t="n">
        <v>7</v>
      </c>
      <c r="F586" s="2"/>
      <c r="G586" s="2" t="n">
        <v>0</v>
      </c>
      <c r="H586" s="2" t="n">
        <v>918</v>
      </c>
      <c r="I586" s="2" t="s">
        <v>26</v>
      </c>
      <c r="J586" s="2" t="n">
        <v>288</v>
      </c>
      <c r="K586" s="2" t="n">
        <v>0</v>
      </c>
      <c r="L586" s="2" t="n">
        <v>29.8</v>
      </c>
      <c r="M586" s="2" t="s">
        <v>131</v>
      </c>
      <c r="N586" s="3" t="n">
        <v>17</v>
      </c>
      <c r="O586" s="3" t="n">
        <v>-0.414</v>
      </c>
      <c r="P586" s="3" t="n">
        <v>132.885</v>
      </c>
      <c r="Q586" s="3" t="s">
        <v>1279</v>
      </c>
      <c r="R586" s="2"/>
      <c r="S586" s="2" t="s">
        <v>72</v>
      </c>
      <c r="T586" s="4" t="n">
        <f aca="false">DATE(VALUE(MID(C586,7,4)),VALUE(MID(C586,4,2)),VALUE(MID(C586,1,2)))+TIME(VALUE(MID(C586,12,2)),VALUE(MID(C586,15,2)),0)</f>
        <v>39816.8215277778</v>
      </c>
      <c r="U586" s="2" t="str">
        <f aca="false">IF(AND(ISNUMBER(VALUE(MID(A586,7,1))),ISNUMBER(SEARCH("km",A586)),ISNUMBER(SEARCH("of",A586))),"Distance-location","Named-region")</f>
        <v>Named-region</v>
      </c>
      <c r="V586" s="2" t="str">
        <f aca="false">LOWER(M586)</f>
        <v>mwc</v>
      </c>
      <c r="W586" s="5" t="str">
        <f aca="false">IF(COUNTIFS($A$2:$A$1001,A586,$C$2:$C$1001,C586)&gt;1,"Duplicate","Unique")</f>
        <v>Unique</v>
      </c>
    </row>
    <row r="587" customFormat="false" ht="15" hidden="false" customHeight="false" outlineLevel="0" collapsed="false">
      <c r="A587" s="2" t="s">
        <v>1568</v>
      </c>
      <c r="B587" s="3" t="n">
        <v>7.4</v>
      </c>
      <c r="C587" s="2" t="s">
        <v>1569</v>
      </c>
      <c r="D587" s="2" t="n">
        <v>9</v>
      </c>
      <c r="E587" s="2" t="n">
        <v>7</v>
      </c>
      <c r="F587" s="2"/>
      <c r="G587" s="2" t="n">
        <v>0</v>
      </c>
      <c r="H587" s="2" t="n">
        <v>848</v>
      </c>
      <c r="I587" s="2" t="s">
        <v>26</v>
      </c>
      <c r="J587" s="2" t="n">
        <v>365</v>
      </c>
      <c r="K587" s="2" t="n">
        <v>0</v>
      </c>
      <c r="L587" s="2" t="n">
        <v>33.7</v>
      </c>
      <c r="M587" s="2" t="s">
        <v>27</v>
      </c>
      <c r="N587" s="3" t="n">
        <v>30</v>
      </c>
      <c r="O587" s="3" t="n">
        <v>1.271</v>
      </c>
      <c r="P587" s="3" t="n">
        <v>122.091</v>
      </c>
      <c r="Q587" s="3" t="s">
        <v>1570</v>
      </c>
      <c r="R587" s="2"/>
      <c r="S587" s="2" t="s">
        <v>72</v>
      </c>
      <c r="T587" s="4" t="n">
        <f aca="false">DATE(VALUE(MID(C587,7,4)),VALUE(MID(C587,4,2)),VALUE(MID(C587,1,2)))+TIME(VALUE(MID(C587,12,2)),VALUE(MID(C587,15,2)),0)</f>
        <v>39768.7097222222</v>
      </c>
      <c r="U587" s="2" t="str">
        <f aca="false">IF(AND(ISNUMBER(VALUE(MID(A587,7,1))),ISNUMBER(SEARCH("km",A587)),ISNUMBER(SEARCH("of",A587))),"Distance-location","Named-region")</f>
        <v>Named-region</v>
      </c>
      <c r="V587" s="2" t="str">
        <f aca="false">LOWER(M587)</f>
        <v>mww</v>
      </c>
      <c r="W587" s="5" t="str">
        <f aca="false">IF(COUNTIFS($A$2:$A$1001,A587,$C$2:$C$1001,C587)&gt;1,"Duplicate","Unique")</f>
        <v>Unique</v>
      </c>
    </row>
    <row r="588" customFormat="false" ht="15" hidden="false" customHeight="false" outlineLevel="0" collapsed="false">
      <c r="A588" s="2" t="s">
        <v>1571</v>
      </c>
      <c r="B588" s="3" t="n">
        <v>6.7</v>
      </c>
      <c r="C588" s="2" t="s">
        <v>1572</v>
      </c>
      <c r="D588" s="2" t="n">
        <v>5</v>
      </c>
      <c r="E588" s="2" t="n">
        <v>6</v>
      </c>
      <c r="F588" s="2"/>
      <c r="G588" s="2" t="n">
        <v>0</v>
      </c>
      <c r="H588" s="2" t="n">
        <v>731</v>
      </c>
      <c r="I588" s="2" t="s">
        <v>26</v>
      </c>
      <c r="J588" s="2" t="n">
        <v>481</v>
      </c>
      <c r="K588" s="2" t="n">
        <v>0</v>
      </c>
      <c r="L588" s="2" t="n">
        <v>28.6</v>
      </c>
      <c r="M588" s="2" t="s">
        <v>131</v>
      </c>
      <c r="N588" s="3" t="n">
        <v>24</v>
      </c>
      <c r="O588" s="3" t="n">
        <v>14.423</v>
      </c>
      <c r="P588" s="3" t="n">
        <v>-92.364</v>
      </c>
      <c r="Q588" s="3" t="s">
        <v>1573</v>
      </c>
      <c r="R588" s="2"/>
      <c r="S588" s="2" t="s">
        <v>169</v>
      </c>
      <c r="T588" s="4" t="n">
        <f aca="false">DATE(VALUE(MID(C588,7,4)),VALUE(MID(C588,4,2)),VALUE(MID(C588,1,2)))+TIME(VALUE(MID(C588,12,2)),VALUE(MID(C588,15,2)),0)</f>
        <v>39737.8201388889</v>
      </c>
      <c r="U588" s="2" t="str">
        <f aca="false">IF(AND(ISNUMBER(VALUE(MID(A588,7,1))),ISNUMBER(SEARCH("km",A588)),ISNUMBER(SEARCH("of",A588))),"Distance-location","Named-region")</f>
        <v>Named-region</v>
      </c>
      <c r="V588" s="2" t="str">
        <f aca="false">LOWER(M588)</f>
        <v>mwc</v>
      </c>
      <c r="W588" s="5" t="str">
        <f aca="false">IF(COUNTIFS($A$2:$A$1001,A588,$C$2:$C$1001,C588)&gt;1,"Duplicate","Unique")</f>
        <v>Unique</v>
      </c>
    </row>
    <row r="589" customFormat="false" ht="15" hidden="false" customHeight="false" outlineLevel="0" collapsed="false">
      <c r="A589" s="2" t="s">
        <v>1574</v>
      </c>
      <c r="B589" s="3" t="n">
        <v>6.7</v>
      </c>
      <c r="C589" s="2" t="s">
        <v>1575</v>
      </c>
      <c r="D589" s="2" t="n">
        <v>0</v>
      </c>
      <c r="E589" s="2" t="n">
        <v>6</v>
      </c>
      <c r="F589" s="2"/>
      <c r="G589" s="2" t="n">
        <v>0</v>
      </c>
      <c r="H589" s="2" t="n">
        <v>691</v>
      </c>
      <c r="I589" s="2" t="s">
        <v>26</v>
      </c>
      <c r="J589" s="2" t="n">
        <v>529</v>
      </c>
      <c r="K589" s="2" t="n">
        <v>0</v>
      </c>
      <c r="L589" s="2" t="n">
        <v>22.3</v>
      </c>
      <c r="M589" s="2" t="s">
        <v>131</v>
      </c>
      <c r="N589" s="3" t="n">
        <v>27.4</v>
      </c>
      <c r="O589" s="3" t="n">
        <v>39.533</v>
      </c>
      <c r="P589" s="3" t="n">
        <v>73.824</v>
      </c>
      <c r="Q589" s="3" t="s">
        <v>1576</v>
      </c>
      <c r="R589" s="2" t="s">
        <v>84</v>
      </c>
      <c r="S589" s="2" t="s">
        <v>1577</v>
      </c>
      <c r="T589" s="4" t="n">
        <f aca="false">DATE(VALUE(MID(C589,7,4)),VALUE(MID(C589,4,2)),VALUE(MID(C589,1,2)))+TIME(VALUE(MID(C589,12,2)),VALUE(MID(C589,15,2)),0)</f>
        <v>39726.6611111111</v>
      </c>
      <c r="U589" s="2" t="str">
        <f aca="false">IF(AND(ISNUMBER(VALUE(MID(A589,7,1))),ISNUMBER(SEARCH("km",A589)),ISNUMBER(SEARCH("of",A589))),"Distance-location","Named-region")</f>
        <v>Named-region</v>
      </c>
      <c r="V589" s="2" t="str">
        <f aca="false">LOWER(M589)</f>
        <v>mwc</v>
      </c>
      <c r="W589" s="5" t="str">
        <f aca="false">IF(COUNTIFS($A$2:$A$1001,A589,$C$2:$C$1001,C589)&gt;1,"Duplicate","Unique")</f>
        <v>Unique</v>
      </c>
    </row>
    <row r="590" customFormat="false" ht="15" hidden="false" customHeight="false" outlineLevel="0" collapsed="false">
      <c r="A590" s="2" t="s">
        <v>1578</v>
      </c>
      <c r="B590" s="3" t="n">
        <v>6.8</v>
      </c>
      <c r="C590" s="2" t="s">
        <v>1579</v>
      </c>
      <c r="D590" s="2" t="n">
        <v>0</v>
      </c>
      <c r="E590" s="2" t="n">
        <v>6</v>
      </c>
      <c r="F590" s="2"/>
      <c r="G590" s="2" t="n">
        <v>0</v>
      </c>
      <c r="H590" s="2" t="n">
        <v>711</v>
      </c>
      <c r="I590" s="2" t="s">
        <v>26</v>
      </c>
      <c r="J590" s="2" t="n">
        <v>500</v>
      </c>
      <c r="K590" s="2" t="n">
        <v>0</v>
      </c>
      <c r="L590" s="2" t="n">
        <v>22.2</v>
      </c>
      <c r="M590" s="2" t="s">
        <v>131</v>
      </c>
      <c r="N590" s="3" t="n">
        <v>25</v>
      </c>
      <c r="O590" s="3" t="n">
        <v>41.892</v>
      </c>
      <c r="P590" s="3" t="n">
        <v>143.754</v>
      </c>
      <c r="Q590" s="3" t="s">
        <v>1228</v>
      </c>
      <c r="R590" s="2"/>
      <c r="S590" s="2"/>
      <c r="T590" s="4" t="n">
        <f aca="false">DATE(VALUE(MID(C590,7,4)),VALUE(MID(C590,4,2)),VALUE(MID(C590,1,2)))+TIME(VALUE(MID(C590,12,2)),VALUE(MID(C590,15,2)),0)</f>
        <v>39702.0138888889</v>
      </c>
      <c r="U590" s="2" t="str">
        <f aca="false">IF(AND(ISNUMBER(VALUE(MID(A590,7,1))),ISNUMBER(SEARCH("km",A590)),ISNUMBER(SEARCH("of",A590))),"Distance-location","Named-region")</f>
        <v>Named-region</v>
      </c>
      <c r="V590" s="2" t="str">
        <f aca="false">LOWER(M590)</f>
        <v>mwc</v>
      </c>
      <c r="W590" s="5" t="str">
        <f aca="false">IF(COUNTIFS($A$2:$A$1001,A590,$C$2:$C$1001,C590)&gt;1,"Duplicate","Unique")</f>
        <v>Unique</v>
      </c>
    </row>
    <row r="591" customFormat="false" ht="15" hidden="false" customHeight="false" outlineLevel="0" collapsed="false">
      <c r="A591" s="2" t="s">
        <v>1580</v>
      </c>
      <c r="B591" s="3" t="n">
        <v>6.6</v>
      </c>
      <c r="C591" s="2" t="s">
        <v>1581</v>
      </c>
      <c r="D591" s="2" t="n">
        <v>0</v>
      </c>
      <c r="E591" s="2" t="n">
        <v>6</v>
      </c>
      <c r="F591" s="2"/>
      <c r="G591" s="2" t="n">
        <v>0</v>
      </c>
      <c r="H591" s="2" t="n">
        <v>670</v>
      </c>
      <c r="I591" s="2" t="s">
        <v>26</v>
      </c>
      <c r="J591" s="2" t="n">
        <v>463</v>
      </c>
      <c r="K591" s="2" t="n">
        <v>0</v>
      </c>
      <c r="L591" s="2" t="n">
        <v>14.1</v>
      </c>
      <c r="M591" s="2" t="s">
        <v>131</v>
      </c>
      <c r="N591" s="3" t="n">
        <v>96</v>
      </c>
      <c r="O591" s="3" t="n">
        <v>1.885</v>
      </c>
      <c r="P591" s="3" t="n">
        <v>127.363</v>
      </c>
      <c r="Q591" s="3" t="s">
        <v>132</v>
      </c>
      <c r="R591" s="2"/>
      <c r="S591" s="2" t="s">
        <v>72</v>
      </c>
      <c r="T591" s="4" t="n">
        <f aca="false">DATE(VALUE(MID(C591,7,4)),VALUE(MID(C591,4,2)),VALUE(MID(C591,1,2)))+TIME(VALUE(MID(C591,12,2)),VALUE(MID(C591,15,2)),0)</f>
        <v>39702</v>
      </c>
      <c r="U591" s="2" t="str">
        <f aca="false">IF(AND(ISNUMBER(VALUE(MID(A591,7,1))),ISNUMBER(SEARCH("km",A591)),ISNUMBER(SEARCH("of",A591))),"Distance-location","Named-region")</f>
        <v>Named-region</v>
      </c>
      <c r="V591" s="2" t="str">
        <f aca="false">LOWER(M591)</f>
        <v>mwc</v>
      </c>
      <c r="W591" s="5" t="str">
        <f aca="false">IF(COUNTIFS($A$2:$A$1001,A591,$C$2:$C$1001,C591)&gt;1,"Duplicate","Unique")</f>
        <v>Unique</v>
      </c>
    </row>
    <row r="592" customFormat="false" ht="15" hidden="false" customHeight="false" outlineLevel="0" collapsed="false">
      <c r="A592" s="2" t="s">
        <v>1582</v>
      </c>
      <c r="B592" s="3" t="n">
        <v>6.9</v>
      </c>
      <c r="C592" s="2" t="s">
        <v>1583</v>
      </c>
      <c r="D592" s="2" t="n">
        <v>0</v>
      </c>
      <c r="E592" s="2" t="n">
        <v>6</v>
      </c>
      <c r="F592" s="2"/>
      <c r="G592" s="2" t="n">
        <v>0</v>
      </c>
      <c r="H592" s="2" t="n">
        <v>732</v>
      </c>
      <c r="I592" s="2" t="s">
        <v>26</v>
      </c>
      <c r="J592" s="2" t="n">
        <v>531</v>
      </c>
      <c r="K592" s="2" t="n">
        <v>0</v>
      </c>
      <c r="L592" s="2" t="n">
        <v>14.9</v>
      </c>
      <c r="M592" s="2" t="s">
        <v>131</v>
      </c>
      <c r="N592" s="3" t="n">
        <v>110</v>
      </c>
      <c r="O592" s="3" t="n">
        <v>-13.501</v>
      </c>
      <c r="P592" s="3" t="n">
        <v>166.967</v>
      </c>
      <c r="Q592" s="3" t="s">
        <v>28</v>
      </c>
      <c r="R592" s="2"/>
      <c r="S592" s="2" t="s">
        <v>29</v>
      </c>
      <c r="T592" s="4" t="n">
        <f aca="false">DATE(VALUE(MID(C592,7,4)),VALUE(MID(C592,4,2)),VALUE(MID(C592,1,2)))+TIME(VALUE(MID(C592,12,2)),VALUE(MID(C592,15,2)),0)</f>
        <v>39699.7861111111</v>
      </c>
      <c r="U592" s="2" t="str">
        <f aca="false">IF(AND(ISNUMBER(VALUE(MID(A592,7,1))),ISNUMBER(SEARCH("km",A592)),ISNUMBER(SEARCH("of",A592))),"Distance-location","Named-region")</f>
        <v>Named-region</v>
      </c>
      <c r="V592" s="2" t="str">
        <f aca="false">LOWER(M592)</f>
        <v>mwc</v>
      </c>
      <c r="W592" s="5" t="str">
        <f aca="false">IF(COUNTIFS($A$2:$A$1001,A592,$C$2:$C$1001,C592)&gt;1,"Duplicate","Unique")</f>
        <v>Unique</v>
      </c>
    </row>
    <row r="593" customFormat="false" ht="15" hidden="false" customHeight="false" outlineLevel="0" collapsed="false">
      <c r="A593" s="2" t="s">
        <v>1584</v>
      </c>
      <c r="B593" s="3" t="n">
        <v>6.7</v>
      </c>
      <c r="C593" s="2" t="s">
        <v>1585</v>
      </c>
      <c r="D593" s="2" t="n">
        <v>4</v>
      </c>
      <c r="E593" s="2" t="n">
        <v>7</v>
      </c>
      <c r="F593" s="2"/>
      <c r="G593" s="2" t="n">
        <v>0</v>
      </c>
      <c r="H593" s="2" t="n">
        <v>692</v>
      </c>
      <c r="I593" s="2" t="s">
        <v>26</v>
      </c>
      <c r="J593" s="2" t="n">
        <v>325</v>
      </c>
      <c r="K593" s="2" t="n">
        <v>0</v>
      </c>
      <c r="L593" s="2" t="n">
        <v>28</v>
      </c>
      <c r="M593" s="2" t="s">
        <v>131</v>
      </c>
      <c r="N593" s="3" t="n">
        <v>12</v>
      </c>
      <c r="O593" s="3" t="n">
        <v>30.901</v>
      </c>
      <c r="P593" s="3" t="n">
        <v>83.52</v>
      </c>
      <c r="Q593" s="3" t="s">
        <v>1586</v>
      </c>
      <c r="R593" s="2" t="s">
        <v>84</v>
      </c>
      <c r="S593" s="2" t="s">
        <v>188</v>
      </c>
      <c r="T593" s="4" t="n">
        <f aca="false">DATE(VALUE(MID(C593,7,4)),VALUE(MID(C593,4,2)),VALUE(MID(C593,1,2)))+TIME(VALUE(MID(C593,12,2)),VALUE(MID(C593,15,2)),0)</f>
        <v>39685.55625</v>
      </c>
      <c r="U593" s="2" t="str">
        <f aca="false">IF(AND(ISNUMBER(VALUE(MID(A593,7,1))),ISNUMBER(SEARCH("km",A593)),ISNUMBER(SEARCH("of",A593))),"Distance-location","Named-region")</f>
        <v>Named-region</v>
      </c>
      <c r="V593" s="2" t="str">
        <f aca="false">LOWER(M593)</f>
        <v>mwc</v>
      </c>
      <c r="W593" s="5" t="str">
        <f aca="false">IF(COUNTIFS($A$2:$A$1001,A593,$C$2:$C$1001,C593)&gt;1,"Duplicate","Unique")</f>
        <v>Unique</v>
      </c>
    </row>
    <row r="594" customFormat="false" ht="15" hidden="false" customHeight="false" outlineLevel="0" collapsed="false">
      <c r="A594" s="2" t="s">
        <v>1587</v>
      </c>
      <c r="B594" s="3" t="n">
        <v>6.8</v>
      </c>
      <c r="C594" s="2" t="s">
        <v>1588</v>
      </c>
      <c r="D594" s="2" t="n">
        <v>8</v>
      </c>
      <c r="E594" s="2" t="n">
        <v>7</v>
      </c>
      <c r="F594" s="2"/>
      <c r="G594" s="2" t="n">
        <v>0</v>
      </c>
      <c r="H594" s="2" t="n">
        <v>1046</v>
      </c>
      <c r="I594" s="2" t="s">
        <v>26</v>
      </c>
      <c r="J594" s="2" t="n">
        <v>633</v>
      </c>
      <c r="K594" s="2" t="n">
        <v>0</v>
      </c>
      <c r="L594" s="2" t="n">
        <v>20.2</v>
      </c>
      <c r="M594" s="2" t="s">
        <v>131</v>
      </c>
      <c r="N594" s="3" t="n">
        <v>108</v>
      </c>
      <c r="O594" s="3" t="n">
        <v>39.802</v>
      </c>
      <c r="P594" s="3" t="n">
        <v>141.464</v>
      </c>
      <c r="Q594" s="3" t="s">
        <v>1589</v>
      </c>
      <c r="R594" s="2" t="s">
        <v>84</v>
      </c>
      <c r="S594" s="2" t="s">
        <v>326</v>
      </c>
      <c r="T594" s="4" t="n">
        <f aca="false">DATE(VALUE(MID(C594,7,4)),VALUE(MID(C594,4,2)),VALUE(MID(C594,1,2)))+TIME(VALUE(MID(C594,12,2)),VALUE(MID(C594,15,2)),0)</f>
        <v>39652.6430555556</v>
      </c>
      <c r="U594" s="2" t="str">
        <f aca="false">IF(AND(ISNUMBER(VALUE(MID(A594,7,1))),ISNUMBER(SEARCH("km",A594)),ISNUMBER(SEARCH("of",A594))),"Distance-location","Named-region")</f>
        <v>Named-region</v>
      </c>
      <c r="V594" s="2" t="str">
        <f aca="false">LOWER(M594)</f>
        <v>mwc</v>
      </c>
      <c r="W594" s="5" t="str">
        <f aca="false">IF(COUNTIFS($A$2:$A$1001,A594,$C$2:$C$1001,C594)&gt;1,"Duplicate","Unique")</f>
        <v>Unique</v>
      </c>
    </row>
    <row r="595" customFormat="false" ht="15" hidden="false" customHeight="false" outlineLevel="0" collapsed="false">
      <c r="A595" s="2" t="s">
        <v>1590</v>
      </c>
      <c r="B595" s="3" t="n">
        <v>7</v>
      </c>
      <c r="C595" s="2" t="s">
        <v>1591</v>
      </c>
      <c r="D595" s="2" t="n">
        <v>5</v>
      </c>
      <c r="E595" s="2" t="n">
        <v>5</v>
      </c>
      <c r="F595" s="2"/>
      <c r="G595" s="2" t="n">
        <v>0</v>
      </c>
      <c r="H595" s="2" t="n">
        <v>840</v>
      </c>
      <c r="I595" s="2" t="s">
        <v>26</v>
      </c>
      <c r="J595" s="2" t="n">
        <v>577</v>
      </c>
      <c r="K595" s="2" t="n">
        <v>0</v>
      </c>
      <c r="L595" s="2" t="n">
        <v>18.2</v>
      </c>
      <c r="M595" s="2" t="s">
        <v>131</v>
      </c>
      <c r="N595" s="3" t="n">
        <v>22</v>
      </c>
      <c r="O595" s="3" t="n">
        <v>37.552</v>
      </c>
      <c r="P595" s="3" t="n">
        <v>142.214</v>
      </c>
      <c r="Q595" s="3" t="s">
        <v>221</v>
      </c>
      <c r="R595" s="2"/>
      <c r="S595" s="2"/>
      <c r="T595" s="4" t="n">
        <f aca="false">DATE(VALUE(MID(C595,7,4)),VALUE(MID(C595,4,2)),VALUE(MID(C595,1,2)))+TIME(VALUE(MID(C595,12,2)),VALUE(MID(C595,15,2)),0)</f>
        <v>39648.1104166667</v>
      </c>
      <c r="U595" s="2" t="str">
        <f aca="false">IF(AND(ISNUMBER(VALUE(MID(A595,7,1))),ISNUMBER(SEARCH("km",A595)),ISNUMBER(SEARCH("of",A595))),"Distance-location","Named-region")</f>
        <v>Named-region</v>
      </c>
      <c r="V595" s="2" t="str">
        <f aca="false">LOWER(M595)</f>
        <v>mwc</v>
      </c>
      <c r="W595" s="5" t="str">
        <f aca="false">IF(COUNTIFS($A$2:$A$1001,A595,$C$2:$C$1001,C595)&gt;1,"Duplicate","Unique")</f>
        <v>Unique</v>
      </c>
    </row>
    <row r="596" customFormat="false" ht="15" hidden="false" customHeight="false" outlineLevel="0" collapsed="false">
      <c r="A596" s="2" t="s">
        <v>1592</v>
      </c>
      <c r="B596" s="3" t="n">
        <v>6.9</v>
      </c>
      <c r="C596" s="2" t="s">
        <v>1591</v>
      </c>
      <c r="D596" s="2" t="n">
        <v>5</v>
      </c>
      <c r="E596" s="2" t="n">
        <v>5</v>
      </c>
      <c r="F596" s="2"/>
      <c r="G596" s="2" t="n">
        <v>0</v>
      </c>
      <c r="H596" s="2" t="n">
        <v>825</v>
      </c>
      <c r="I596" s="2" t="s">
        <v>1593</v>
      </c>
      <c r="J596" s="2" t="n">
        <v>0</v>
      </c>
      <c r="K596" s="2" t="n">
        <v>0</v>
      </c>
      <c r="L596" s="2" t="n">
        <v>0</v>
      </c>
      <c r="M596" s="2" t="s">
        <v>27</v>
      </c>
      <c r="N596" s="3" t="n">
        <v>25.5</v>
      </c>
      <c r="O596" s="3" t="n">
        <v>37.55</v>
      </c>
      <c r="P596" s="3" t="n">
        <v>142.714</v>
      </c>
      <c r="Q596" s="3" t="s">
        <v>221</v>
      </c>
      <c r="R596" s="2"/>
      <c r="S596" s="2"/>
      <c r="T596" s="4" t="n">
        <f aca="false">DATE(VALUE(MID(C596,7,4)),VALUE(MID(C596,4,2)),VALUE(MID(C596,1,2)))+TIME(VALUE(MID(C596,12,2)),VALUE(MID(C596,15,2)),0)</f>
        <v>39648.1104166667</v>
      </c>
      <c r="U596" s="2" t="str">
        <f aca="false">IF(AND(ISNUMBER(VALUE(MID(A596,7,1))),ISNUMBER(SEARCH("km",A596)),ISNUMBER(SEARCH("of",A596))),"Distance-location","Named-region")</f>
        <v>Named-region</v>
      </c>
      <c r="V596" s="2" t="str">
        <f aca="false">LOWER(M596)</f>
        <v>mww</v>
      </c>
      <c r="W596" s="5" t="str">
        <f aca="false">IF(COUNTIFS($A$2:$A$1001,A596,$C$2:$C$1001,C596)&gt;1,"Duplicate","Unique")</f>
        <v>Unique</v>
      </c>
    </row>
    <row r="597" customFormat="false" ht="15" hidden="false" customHeight="false" outlineLevel="0" collapsed="false">
      <c r="A597" s="2" t="s">
        <v>1594</v>
      </c>
      <c r="B597" s="3" t="n">
        <v>6.6</v>
      </c>
      <c r="C597" s="2" t="s">
        <v>1595</v>
      </c>
      <c r="D597" s="2" t="n">
        <v>4</v>
      </c>
      <c r="E597" s="2" t="n">
        <v>5</v>
      </c>
      <c r="F597" s="2"/>
      <c r="G597" s="2" t="n">
        <v>0</v>
      </c>
      <c r="H597" s="2" t="n">
        <v>680</v>
      </c>
      <c r="I597" s="2" t="s">
        <v>26</v>
      </c>
      <c r="J597" s="2" t="n">
        <v>630</v>
      </c>
      <c r="K597" s="2" t="n">
        <v>0</v>
      </c>
      <c r="L597" s="2" t="n">
        <v>18.4</v>
      </c>
      <c r="M597" s="2" t="s">
        <v>131</v>
      </c>
      <c r="N597" s="3" t="n">
        <v>17</v>
      </c>
      <c r="O597" s="3" t="n">
        <v>11.005</v>
      </c>
      <c r="P597" s="3" t="n">
        <v>91.824</v>
      </c>
      <c r="Q597" s="3" t="s">
        <v>1468</v>
      </c>
      <c r="R597" s="2"/>
      <c r="S597" s="2"/>
      <c r="T597" s="4" t="n">
        <f aca="false">DATE(VALUE(MID(C597,7,4)),VALUE(MID(C597,4,2)),VALUE(MID(C597,1,2)))+TIME(VALUE(MID(C597,12,2)),VALUE(MID(C597,15,2)),0)</f>
        <v>39626.4861111111</v>
      </c>
      <c r="U597" s="2" t="str">
        <f aca="false">IF(AND(ISNUMBER(VALUE(MID(A597,7,1))),ISNUMBER(SEARCH("km",A597)),ISNUMBER(SEARCH("of",A597))),"Distance-location","Named-region")</f>
        <v>Named-region</v>
      </c>
      <c r="V597" s="2" t="str">
        <f aca="false">LOWER(M597)</f>
        <v>mwc</v>
      </c>
      <c r="W597" s="5" t="str">
        <f aca="false">IF(COUNTIFS($A$2:$A$1001,A597,$C$2:$C$1001,C597)&gt;1,"Duplicate","Unique")</f>
        <v>Unique</v>
      </c>
    </row>
    <row r="598" customFormat="false" ht="15" hidden="false" customHeight="false" outlineLevel="0" collapsed="false">
      <c r="A598" s="2" t="s">
        <v>1596</v>
      </c>
      <c r="B598" s="3" t="n">
        <v>6.9</v>
      </c>
      <c r="C598" s="2" t="s">
        <v>1597</v>
      </c>
      <c r="D598" s="2" t="n">
        <v>7</v>
      </c>
      <c r="E598" s="2" t="n">
        <v>8</v>
      </c>
      <c r="F598" s="2"/>
      <c r="G598" s="2" t="n">
        <v>0</v>
      </c>
      <c r="H598" s="2" t="n">
        <v>888</v>
      </c>
      <c r="I598" s="2" t="s">
        <v>26</v>
      </c>
      <c r="J598" s="2" t="n">
        <v>654</v>
      </c>
      <c r="K598" s="2" t="n">
        <v>0</v>
      </c>
      <c r="L598" s="2" t="n">
        <v>17.1</v>
      </c>
      <c r="M598" s="2" t="s">
        <v>131</v>
      </c>
      <c r="N598" s="3" t="n">
        <v>7.8</v>
      </c>
      <c r="O598" s="3" t="n">
        <v>39.03</v>
      </c>
      <c r="P598" s="3" t="n">
        <v>140.881</v>
      </c>
      <c r="Q598" s="3" t="s">
        <v>1598</v>
      </c>
      <c r="R598" s="2" t="s">
        <v>84</v>
      </c>
      <c r="S598" s="2" t="s">
        <v>326</v>
      </c>
      <c r="T598" s="4" t="n">
        <f aca="false">DATE(VALUE(MID(C598,7,4)),VALUE(MID(C598,4,2)),VALUE(MID(C598,1,2)))+TIME(VALUE(MID(C598,12,2)),VALUE(MID(C598,15,2)),0)</f>
        <v>39612.9881944444</v>
      </c>
      <c r="U598" s="2" t="str">
        <f aca="false">IF(AND(ISNUMBER(VALUE(MID(A598,7,1))),ISNUMBER(SEARCH("km",A598)),ISNUMBER(SEARCH("of",A598))),"Distance-location","Named-region")</f>
        <v>Named-region</v>
      </c>
      <c r="V598" s="2" t="str">
        <f aca="false">LOWER(M598)</f>
        <v>mwc</v>
      </c>
      <c r="W598" s="5" t="str">
        <f aca="false">IF(COUNTIFS($A$2:$A$1001,A598,$C$2:$C$1001,C598)&gt;1,"Duplicate","Unique")</f>
        <v>Unique</v>
      </c>
    </row>
    <row r="599" customFormat="false" ht="15" hidden="false" customHeight="false" outlineLevel="0" collapsed="false">
      <c r="A599" s="2" t="s">
        <v>1599</v>
      </c>
      <c r="B599" s="3" t="n">
        <v>7.9</v>
      </c>
      <c r="C599" s="2" t="s">
        <v>1600</v>
      </c>
      <c r="D599" s="2" t="n">
        <v>9</v>
      </c>
      <c r="E599" s="2" t="n">
        <v>9</v>
      </c>
      <c r="F599" s="2"/>
      <c r="G599" s="2" t="n">
        <v>0</v>
      </c>
      <c r="H599" s="2" t="n">
        <v>1870</v>
      </c>
      <c r="I599" s="2" t="s">
        <v>26</v>
      </c>
      <c r="J599" s="2" t="n">
        <v>774</v>
      </c>
      <c r="K599" s="2" t="n">
        <v>0</v>
      </c>
      <c r="L599" s="2" t="n">
        <v>11.3</v>
      </c>
      <c r="M599" s="2" t="s">
        <v>131</v>
      </c>
      <c r="N599" s="3" t="n">
        <v>19</v>
      </c>
      <c r="O599" s="3" t="n">
        <v>31.002</v>
      </c>
      <c r="P599" s="3" t="n">
        <v>103.322</v>
      </c>
      <c r="Q599" s="3" t="s">
        <v>1601</v>
      </c>
      <c r="R599" s="2" t="s">
        <v>84</v>
      </c>
      <c r="S599" s="2" t="s">
        <v>188</v>
      </c>
      <c r="T599" s="4" t="n">
        <f aca="false">DATE(VALUE(MID(C599,7,4)),VALUE(MID(C599,4,2)),VALUE(MID(C599,1,2)))+TIME(VALUE(MID(C599,12,2)),VALUE(MID(C599,15,2)),0)</f>
        <v>39580.2694444444</v>
      </c>
      <c r="U599" s="2" t="str">
        <f aca="false">IF(AND(ISNUMBER(VALUE(MID(A599,7,1))),ISNUMBER(SEARCH("km",A599)),ISNUMBER(SEARCH("of",A599))),"Distance-location","Named-region")</f>
        <v>Named-region</v>
      </c>
      <c r="V599" s="2" t="str">
        <f aca="false">LOWER(M599)</f>
        <v>mwc</v>
      </c>
      <c r="W599" s="5" t="str">
        <f aca="false">IF(COUNTIFS($A$2:$A$1001,A599,$C$2:$C$1001,C599)&gt;1,"Duplicate","Unique")</f>
        <v>Unique</v>
      </c>
    </row>
    <row r="600" customFormat="false" ht="15" hidden="false" customHeight="false" outlineLevel="0" collapsed="false">
      <c r="A600" s="2" t="s">
        <v>1602</v>
      </c>
      <c r="B600" s="3" t="n">
        <v>6.9</v>
      </c>
      <c r="C600" s="2" t="s">
        <v>1603</v>
      </c>
      <c r="D600" s="2" t="n">
        <v>5</v>
      </c>
      <c r="E600" s="2" t="n">
        <v>5</v>
      </c>
      <c r="F600" s="2"/>
      <c r="G600" s="2" t="n">
        <v>0</v>
      </c>
      <c r="H600" s="2" t="n">
        <v>910</v>
      </c>
      <c r="I600" s="2" t="s">
        <v>26</v>
      </c>
      <c r="J600" s="2" t="n">
        <v>519</v>
      </c>
      <c r="K600" s="2" t="n">
        <v>0</v>
      </c>
      <c r="L600" s="2" t="n">
        <v>21.1</v>
      </c>
      <c r="M600" s="2" t="s">
        <v>131</v>
      </c>
      <c r="N600" s="3" t="n">
        <v>27</v>
      </c>
      <c r="O600" s="3" t="n">
        <v>36.164</v>
      </c>
      <c r="P600" s="3" t="n">
        <v>141.526</v>
      </c>
      <c r="Q600" s="3" t="s">
        <v>1379</v>
      </c>
      <c r="R600" s="2"/>
      <c r="S600" s="2"/>
      <c r="T600" s="4" t="n">
        <f aca="false">DATE(VALUE(MID(C600,7,4)),VALUE(MID(C600,4,2)),VALUE(MID(C600,1,2)))+TIME(VALUE(MID(C600,12,2)),VALUE(MID(C600,15,2)),0)</f>
        <v>39575.6979166667</v>
      </c>
      <c r="U600" s="2" t="str">
        <f aca="false">IF(AND(ISNUMBER(VALUE(MID(A600,7,1))),ISNUMBER(SEARCH("km",A600)),ISNUMBER(SEARCH("of",A600))),"Distance-location","Named-region")</f>
        <v>Named-region</v>
      </c>
      <c r="V600" s="2" t="str">
        <f aca="false">LOWER(M600)</f>
        <v>mwc</v>
      </c>
      <c r="W600" s="5" t="str">
        <f aca="false">IF(COUNTIFS($A$2:$A$1001,A600,$C$2:$C$1001,C600)&gt;1,"Duplicate","Unique")</f>
        <v>Unique</v>
      </c>
    </row>
    <row r="601" customFormat="false" ht="15" hidden="false" customHeight="false" outlineLevel="0" collapsed="false">
      <c r="A601" s="2" t="s">
        <v>1604</v>
      </c>
      <c r="B601" s="3" t="n">
        <v>7.3</v>
      </c>
      <c r="C601" s="2" t="s">
        <v>1605</v>
      </c>
      <c r="D601" s="2" t="n">
        <v>0</v>
      </c>
      <c r="E601" s="2" t="n">
        <v>6</v>
      </c>
      <c r="F601" s="2"/>
      <c r="G601" s="2" t="n">
        <v>0</v>
      </c>
      <c r="H601" s="2" t="n">
        <v>820</v>
      </c>
      <c r="I601" s="2" t="s">
        <v>26</v>
      </c>
      <c r="J601" s="2" t="n">
        <v>486</v>
      </c>
      <c r="K601" s="2" t="n">
        <v>0</v>
      </c>
      <c r="L601" s="2" t="n">
        <v>13.4</v>
      </c>
      <c r="M601" s="2" t="s">
        <v>131</v>
      </c>
      <c r="N601" s="3" t="n">
        <v>33</v>
      </c>
      <c r="O601" s="3" t="n">
        <v>-20.071</v>
      </c>
      <c r="P601" s="3" t="n">
        <v>168.892</v>
      </c>
      <c r="Q601" s="3" t="s">
        <v>181</v>
      </c>
      <c r="R601" s="2"/>
      <c r="S601" s="2"/>
      <c r="T601" s="4" t="n">
        <f aca="false">DATE(VALUE(MID(C601,7,4)),VALUE(MID(C601,4,2)),VALUE(MID(C601,1,2)))+TIME(VALUE(MID(C601,12,2)),VALUE(MID(C601,15,2)),0)</f>
        <v>39547.5319444445</v>
      </c>
      <c r="U601" s="2" t="str">
        <f aca="false">IF(AND(ISNUMBER(VALUE(MID(A601,7,1))),ISNUMBER(SEARCH("km",A601)),ISNUMBER(SEARCH("of",A601))),"Distance-location","Named-region")</f>
        <v>Named-region</v>
      </c>
      <c r="V601" s="2" t="str">
        <f aca="false">LOWER(M601)</f>
        <v>mwc</v>
      </c>
      <c r="W601" s="5" t="str">
        <f aca="false">IF(COUNTIFS($A$2:$A$1001,A601,$C$2:$C$1001,C601)&gt;1,"Duplicate","Unique")</f>
        <v>Unique</v>
      </c>
    </row>
    <row r="602" customFormat="false" ht="15" hidden="false" customHeight="false" outlineLevel="0" collapsed="false">
      <c r="A602" s="2" t="s">
        <v>1606</v>
      </c>
      <c r="B602" s="3" t="n">
        <v>7.2</v>
      </c>
      <c r="C602" s="2" t="s">
        <v>1607</v>
      </c>
      <c r="D602" s="2" t="n">
        <v>0</v>
      </c>
      <c r="E602" s="2" t="n">
        <v>7</v>
      </c>
      <c r="F602" s="2"/>
      <c r="G602" s="2" t="n">
        <v>0</v>
      </c>
      <c r="H602" s="2" t="n">
        <v>798</v>
      </c>
      <c r="I602" s="2" t="s">
        <v>26</v>
      </c>
      <c r="J602" s="2" t="n">
        <v>532</v>
      </c>
      <c r="K602" s="2" t="n">
        <v>0</v>
      </c>
      <c r="L602" s="2" t="n">
        <v>25.9</v>
      </c>
      <c r="M602" s="2" t="s">
        <v>131</v>
      </c>
      <c r="N602" s="3" t="n">
        <v>10</v>
      </c>
      <c r="O602" s="3" t="n">
        <v>35.49</v>
      </c>
      <c r="P602" s="3" t="n">
        <v>81.467</v>
      </c>
      <c r="Q602" s="3" t="s">
        <v>1101</v>
      </c>
      <c r="R602" s="2" t="s">
        <v>84</v>
      </c>
      <c r="S602" s="2" t="s">
        <v>188</v>
      </c>
      <c r="T602" s="4" t="n">
        <f aca="false">DATE(VALUE(MID(C602,7,4)),VALUE(MID(C602,4,2)),VALUE(MID(C602,1,2)))+TIME(VALUE(MID(C602,12,2)),VALUE(MID(C602,15,2)),0)</f>
        <v>39527.9388888889</v>
      </c>
      <c r="U602" s="2" t="str">
        <f aca="false">IF(AND(ISNUMBER(VALUE(MID(A602,7,1))),ISNUMBER(SEARCH("km",A602)),ISNUMBER(SEARCH("of",A602))),"Distance-location","Named-region")</f>
        <v>Named-region</v>
      </c>
      <c r="V602" s="2" t="str">
        <f aca="false">LOWER(M602)</f>
        <v>mwc</v>
      </c>
      <c r="W602" s="5" t="str">
        <f aca="false">IF(COUNTIFS($A$2:$A$1001,A602,$C$2:$C$1001,C602)&gt;1,"Duplicate","Unique")</f>
        <v>Unique</v>
      </c>
    </row>
    <row r="603" customFormat="false" ht="15" hidden="false" customHeight="false" outlineLevel="0" collapsed="false">
      <c r="A603" s="2" t="s">
        <v>1608</v>
      </c>
      <c r="B603" s="3" t="n">
        <v>6.9</v>
      </c>
      <c r="C603" s="2" t="s">
        <v>1609</v>
      </c>
      <c r="D603" s="2" t="n">
        <v>4</v>
      </c>
      <c r="E603" s="2" t="n">
        <v>5</v>
      </c>
      <c r="F603" s="2"/>
      <c r="G603" s="2" t="n">
        <v>0</v>
      </c>
      <c r="H603" s="2" t="n">
        <v>740</v>
      </c>
      <c r="I603" s="2" t="s">
        <v>26</v>
      </c>
      <c r="J603" s="2" t="n">
        <v>544</v>
      </c>
      <c r="K603" s="2" t="n">
        <v>0</v>
      </c>
      <c r="L603" s="2" t="n">
        <v>25.9</v>
      </c>
      <c r="M603" s="2" t="s">
        <v>131</v>
      </c>
      <c r="N603" s="3" t="n">
        <v>24</v>
      </c>
      <c r="O603" s="3" t="n">
        <v>13.351</v>
      </c>
      <c r="P603" s="3" t="n">
        <v>125.63</v>
      </c>
      <c r="Q603" s="3" t="s">
        <v>1610</v>
      </c>
      <c r="R603" s="2"/>
      <c r="S603" s="2"/>
      <c r="T603" s="4" t="n">
        <f aca="false">DATE(VALUE(MID(C603,7,4)),VALUE(MID(C603,4,2)),VALUE(MID(C603,1,2)))+TIME(VALUE(MID(C603,12,2)),VALUE(MID(C603,15,2)),0)</f>
        <v>39510.5909722222</v>
      </c>
      <c r="U603" s="2" t="str">
        <f aca="false">IF(AND(ISNUMBER(VALUE(MID(A603,7,1))),ISNUMBER(SEARCH("km",A603)),ISNUMBER(SEARCH("of",A603))),"Distance-location","Named-region")</f>
        <v>Named-region</v>
      </c>
      <c r="V603" s="2" t="str">
        <f aca="false">LOWER(M603)</f>
        <v>mwc</v>
      </c>
      <c r="W603" s="5" t="str">
        <f aca="false">IF(COUNTIFS($A$2:$A$1001,A603,$C$2:$C$1001,C603)&gt;1,"Duplicate","Unique")</f>
        <v>Unique</v>
      </c>
    </row>
    <row r="604" customFormat="false" ht="15" hidden="false" customHeight="false" outlineLevel="0" collapsed="false">
      <c r="A604" s="2" t="s">
        <v>1611</v>
      </c>
      <c r="B604" s="3" t="n">
        <v>6.7</v>
      </c>
      <c r="C604" s="2" t="s">
        <v>1612</v>
      </c>
      <c r="D604" s="2" t="n">
        <v>5</v>
      </c>
      <c r="E604" s="2" t="n">
        <v>6</v>
      </c>
      <c r="F604" s="2"/>
      <c r="G604" s="2" t="n">
        <v>0</v>
      </c>
      <c r="H604" s="2" t="n">
        <v>696</v>
      </c>
      <c r="I604" s="2" t="s">
        <v>26</v>
      </c>
      <c r="J604" s="2" t="n">
        <v>543</v>
      </c>
      <c r="K604" s="2" t="n">
        <v>0</v>
      </c>
      <c r="L604" s="2" t="n">
        <v>15.1</v>
      </c>
      <c r="M604" s="2" t="s">
        <v>131</v>
      </c>
      <c r="N604" s="3" t="n">
        <v>25</v>
      </c>
      <c r="O604" s="3" t="n">
        <v>-2.245</v>
      </c>
      <c r="P604" s="3" t="n">
        <v>99.808</v>
      </c>
      <c r="Q604" s="3" t="s">
        <v>1537</v>
      </c>
      <c r="R604" s="2"/>
      <c r="S604" s="2" t="s">
        <v>72</v>
      </c>
      <c r="T604" s="4" t="n">
        <f aca="false">DATE(VALUE(MID(C604,7,4)),VALUE(MID(C604,4,2)),VALUE(MID(C604,1,2)))+TIME(VALUE(MID(C604,12,2)),VALUE(MID(C604,15,2)),0)</f>
        <v>39503.8763888889</v>
      </c>
      <c r="U604" s="2" t="str">
        <f aca="false">IF(AND(ISNUMBER(VALUE(MID(A604,7,1))),ISNUMBER(SEARCH("km",A604)),ISNUMBER(SEARCH("of",A604))),"Distance-location","Named-region")</f>
        <v>Named-region</v>
      </c>
      <c r="V604" s="2" t="str">
        <f aca="false">LOWER(M604)</f>
        <v>mwc</v>
      </c>
      <c r="W604" s="5" t="str">
        <f aca="false">IF(COUNTIFS($A$2:$A$1001,A604,$C$2:$C$1001,C604)&gt;1,"Duplicate","Unique")</f>
        <v>Unique</v>
      </c>
    </row>
    <row r="605" customFormat="false" ht="15" hidden="false" customHeight="false" outlineLevel="0" collapsed="false">
      <c r="A605" s="2" t="s">
        <v>1613</v>
      </c>
      <c r="B605" s="3" t="n">
        <v>6.6</v>
      </c>
      <c r="C605" s="2" t="s">
        <v>1614</v>
      </c>
      <c r="D605" s="2" t="n">
        <v>4</v>
      </c>
      <c r="E605" s="2" t="n">
        <v>6</v>
      </c>
      <c r="F605" s="2"/>
      <c r="G605" s="2" t="n">
        <v>0</v>
      </c>
      <c r="H605" s="2" t="n">
        <v>674</v>
      </c>
      <c r="I605" s="2" t="s">
        <v>26</v>
      </c>
      <c r="J605" s="2" t="n">
        <v>421</v>
      </c>
      <c r="K605" s="2" t="n">
        <v>0</v>
      </c>
      <c r="L605" s="2" t="n">
        <v>17.7</v>
      </c>
      <c r="M605" s="2" t="s">
        <v>131</v>
      </c>
      <c r="N605" s="3" t="n">
        <v>25</v>
      </c>
      <c r="O605" s="3" t="n">
        <v>-2.332</v>
      </c>
      <c r="P605" s="3" t="n">
        <v>99.891</v>
      </c>
      <c r="Q605" s="3" t="s">
        <v>1537</v>
      </c>
      <c r="R605" s="2"/>
      <c r="S605" s="2" t="s">
        <v>72</v>
      </c>
      <c r="T605" s="4" t="n">
        <f aca="false">DATE(VALUE(MID(C605,7,4)),VALUE(MID(C605,4,2)),VALUE(MID(C605,1,2)))+TIME(VALUE(MID(C605,12,2)),VALUE(MID(C605,15,2)),0)</f>
        <v>39503.7541666667</v>
      </c>
      <c r="U605" s="2" t="str">
        <f aca="false">IF(AND(ISNUMBER(VALUE(MID(A605,7,1))),ISNUMBER(SEARCH("km",A605)),ISNUMBER(SEARCH("of",A605))),"Distance-location","Named-region")</f>
        <v>Named-region</v>
      </c>
      <c r="V605" s="2" t="str">
        <f aca="false">LOWER(M605)</f>
        <v>mwc</v>
      </c>
      <c r="W605" s="5" t="str">
        <f aca="false">IF(COUNTIFS($A$2:$A$1001,A605,$C$2:$C$1001,C605)&gt;1,"Duplicate","Unique")</f>
        <v>Unique</v>
      </c>
    </row>
    <row r="606" customFormat="false" ht="15" hidden="false" customHeight="false" outlineLevel="0" collapsed="false">
      <c r="A606" s="2" t="s">
        <v>1615</v>
      </c>
      <c r="B606" s="3" t="n">
        <v>7.2</v>
      </c>
      <c r="C606" s="2" t="s">
        <v>1616</v>
      </c>
      <c r="D606" s="2" t="n">
        <v>4</v>
      </c>
      <c r="E606" s="2" t="n">
        <v>7</v>
      </c>
      <c r="F606" s="2"/>
      <c r="G606" s="2" t="n">
        <v>0</v>
      </c>
      <c r="H606" s="2" t="n">
        <v>832</v>
      </c>
      <c r="I606" s="2" t="s">
        <v>26</v>
      </c>
      <c r="J606" s="2" t="n">
        <v>505</v>
      </c>
      <c r="K606" s="2" t="n">
        <v>0</v>
      </c>
      <c r="L606" s="2" t="n">
        <v>18.4</v>
      </c>
      <c r="M606" s="2" t="s">
        <v>131</v>
      </c>
      <c r="N606" s="3" t="n">
        <v>25</v>
      </c>
      <c r="O606" s="3" t="n">
        <v>-2.486</v>
      </c>
      <c r="P606" s="3" t="n">
        <v>99.972</v>
      </c>
      <c r="Q606" s="3" t="s">
        <v>813</v>
      </c>
      <c r="R606" s="2"/>
      <c r="S606" s="2" t="s">
        <v>72</v>
      </c>
      <c r="T606" s="4" t="n">
        <f aca="false">DATE(VALUE(MID(C606,7,4)),VALUE(MID(C606,4,2)),VALUE(MID(C606,1,2)))+TIME(VALUE(MID(C606,12,2)),VALUE(MID(C606,15,2)),0)</f>
        <v>39503.3583333333</v>
      </c>
      <c r="U606" s="2" t="str">
        <f aca="false">IF(AND(ISNUMBER(VALUE(MID(A606,7,1))),ISNUMBER(SEARCH("km",A606)),ISNUMBER(SEARCH("of",A606))),"Distance-location","Named-region")</f>
        <v>Named-region</v>
      </c>
      <c r="V606" s="2" t="str">
        <f aca="false">LOWER(M606)</f>
        <v>mwc</v>
      </c>
      <c r="W606" s="5" t="str">
        <f aca="false">IF(COUNTIFS($A$2:$A$1001,A606,$C$2:$C$1001,C606)&gt;1,"Duplicate","Unique")</f>
        <v>Unique</v>
      </c>
    </row>
    <row r="607" customFormat="false" ht="15" hidden="false" customHeight="false" outlineLevel="0" collapsed="false">
      <c r="A607" s="2" t="s">
        <v>1617</v>
      </c>
      <c r="B607" s="3" t="n">
        <v>6.5</v>
      </c>
      <c r="C607" s="2" t="s">
        <v>1618</v>
      </c>
      <c r="D607" s="2" t="n">
        <v>4</v>
      </c>
      <c r="E607" s="2" t="n">
        <v>6</v>
      </c>
      <c r="F607" s="2"/>
      <c r="G607" s="2" t="n">
        <v>0</v>
      </c>
      <c r="H607" s="2" t="n">
        <v>654</v>
      </c>
      <c r="I607" s="2" t="s">
        <v>26</v>
      </c>
      <c r="J607" s="2" t="n">
        <v>429</v>
      </c>
      <c r="K607" s="2" t="n">
        <v>0</v>
      </c>
      <c r="L607" s="2" t="n">
        <v>28.3</v>
      </c>
      <c r="M607" s="2" t="s">
        <v>131</v>
      </c>
      <c r="N607" s="3" t="n">
        <v>22</v>
      </c>
      <c r="O607" s="3" t="n">
        <v>-2.405</v>
      </c>
      <c r="P607" s="3" t="n">
        <v>99.931</v>
      </c>
      <c r="Q607" s="3" t="s">
        <v>813</v>
      </c>
      <c r="R607" s="2"/>
      <c r="S607" s="2" t="s">
        <v>72</v>
      </c>
      <c r="T607" s="4" t="n">
        <f aca="false">DATE(VALUE(MID(C607,7,4)),VALUE(MID(C607,4,2)),VALUE(MID(C607,1,2)))+TIME(VALUE(MID(C607,12,2)),VALUE(MID(C607,15,2)),0)</f>
        <v>39502.6152777778</v>
      </c>
      <c r="U607" s="2" t="str">
        <f aca="false">IF(AND(ISNUMBER(VALUE(MID(A607,7,1))),ISNUMBER(SEARCH("km",A607)),ISNUMBER(SEARCH("of",A607))),"Distance-location","Named-region")</f>
        <v>Named-region</v>
      </c>
      <c r="V607" s="2" t="str">
        <f aca="false">LOWER(M607)</f>
        <v>mwc</v>
      </c>
      <c r="W607" s="5" t="str">
        <f aca="false">IF(COUNTIFS($A$2:$A$1001,A607,$C$2:$C$1001,C607)&gt;1,"Duplicate","Unique")</f>
        <v>Unique</v>
      </c>
    </row>
    <row r="608" customFormat="false" ht="15" hidden="false" customHeight="false" outlineLevel="0" collapsed="false">
      <c r="A608" s="2" t="s">
        <v>1619</v>
      </c>
      <c r="B608" s="3" t="n">
        <v>7.4</v>
      </c>
      <c r="C608" s="2" t="s">
        <v>1620</v>
      </c>
      <c r="D608" s="2" t="n">
        <v>5</v>
      </c>
      <c r="E608" s="2" t="n">
        <v>7</v>
      </c>
      <c r="F608" s="2"/>
      <c r="G608" s="2" t="n">
        <v>0</v>
      </c>
      <c r="H608" s="2" t="n">
        <v>914</v>
      </c>
      <c r="I608" s="2" t="s">
        <v>26</v>
      </c>
      <c r="J608" s="2" t="n">
        <v>607</v>
      </c>
      <c r="K608" s="2" t="n">
        <v>0</v>
      </c>
      <c r="L608" s="2" t="n">
        <v>16.4</v>
      </c>
      <c r="M608" s="2" t="s">
        <v>131</v>
      </c>
      <c r="N608" s="3" t="n">
        <v>26</v>
      </c>
      <c r="O608" s="3" t="n">
        <v>2.768</v>
      </c>
      <c r="P608" s="3" t="n">
        <v>95.964</v>
      </c>
      <c r="Q608" s="3" t="s">
        <v>321</v>
      </c>
      <c r="R608" s="2"/>
      <c r="S608" s="2" t="s">
        <v>72</v>
      </c>
      <c r="T608" s="4" t="n">
        <f aca="false">DATE(VALUE(MID(C608,7,4)),VALUE(MID(C608,4,2)),VALUE(MID(C608,1,2)))+TIME(VALUE(MID(C608,12,2)),VALUE(MID(C608,15,2)),0)</f>
        <v>39498.3388888889</v>
      </c>
      <c r="U608" s="2" t="str">
        <f aca="false">IF(AND(ISNUMBER(VALUE(MID(A608,7,1))),ISNUMBER(SEARCH("km",A608)),ISNUMBER(SEARCH("of",A608))),"Distance-location","Named-region")</f>
        <v>Named-region</v>
      </c>
      <c r="V608" s="2" t="str">
        <f aca="false">LOWER(M608)</f>
        <v>mwc</v>
      </c>
      <c r="W608" s="5" t="str">
        <f aca="false">IF(COUNTIFS($A$2:$A$1001,A608,$C$2:$C$1001,C608)&gt;1,"Duplicate","Unique")</f>
        <v>Unique</v>
      </c>
    </row>
    <row r="609" customFormat="false" ht="15" hidden="false" customHeight="false" outlineLevel="0" collapsed="false">
      <c r="A609" s="2" t="s">
        <v>1621</v>
      </c>
      <c r="B609" s="3" t="n">
        <v>6.5</v>
      </c>
      <c r="C609" s="2" t="s">
        <v>1622</v>
      </c>
      <c r="D609" s="2" t="n">
        <v>8</v>
      </c>
      <c r="E609" s="2" t="n">
        <v>5</v>
      </c>
      <c r="F609" s="2"/>
      <c r="G609" s="2" t="n">
        <v>0</v>
      </c>
      <c r="H609" s="2" t="n">
        <v>692</v>
      </c>
      <c r="I609" s="2" t="s">
        <v>26</v>
      </c>
      <c r="J609" s="2" t="n">
        <v>650</v>
      </c>
      <c r="K609" s="2" t="n">
        <v>0</v>
      </c>
      <c r="L609" s="2" t="n">
        <v>30.7</v>
      </c>
      <c r="M609" s="2" t="s">
        <v>131</v>
      </c>
      <c r="N609" s="3" t="n">
        <v>28</v>
      </c>
      <c r="O609" s="3" t="n">
        <v>36.345</v>
      </c>
      <c r="P609" s="3" t="n">
        <v>21.863</v>
      </c>
      <c r="Q609" s="3" t="s">
        <v>1623</v>
      </c>
      <c r="R609" s="2" t="s">
        <v>365</v>
      </c>
      <c r="S609" s="2"/>
      <c r="T609" s="4" t="n">
        <f aca="false">DATE(VALUE(MID(C609,7,4)),VALUE(MID(C609,4,2)),VALUE(MID(C609,1,2)))+TIME(VALUE(MID(C609,12,2)),VALUE(MID(C609,15,2)),0)</f>
        <v>39492.5055555556</v>
      </c>
      <c r="U609" s="2" t="str">
        <f aca="false">IF(AND(ISNUMBER(VALUE(MID(A609,7,1))),ISNUMBER(SEARCH("km",A609)),ISNUMBER(SEARCH("of",A609))),"Distance-location","Named-region")</f>
        <v>Named-region</v>
      </c>
      <c r="V609" s="2" t="str">
        <f aca="false">LOWER(M609)</f>
        <v>mwc</v>
      </c>
      <c r="W609" s="5" t="str">
        <f aca="false">IF(COUNTIFS($A$2:$A$1001,A609,$C$2:$C$1001,C609)&gt;1,"Duplicate","Unique")</f>
        <v>Unique</v>
      </c>
    </row>
    <row r="610" customFormat="false" ht="15" hidden="false" customHeight="false" outlineLevel="0" collapsed="false">
      <c r="A610" s="2" t="s">
        <v>1624</v>
      </c>
      <c r="B610" s="3" t="n">
        <v>6.9</v>
      </c>
      <c r="C610" s="2" t="s">
        <v>1625</v>
      </c>
      <c r="D610" s="2" t="n">
        <v>6</v>
      </c>
      <c r="E610" s="2" t="n">
        <v>6</v>
      </c>
      <c r="F610" s="2"/>
      <c r="G610" s="2" t="n">
        <v>0</v>
      </c>
      <c r="H610" s="2" t="n">
        <v>941</v>
      </c>
      <c r="I610" s="2" t="s">
        <v>26</v>
      </c>
      <c r="J610" s="2" t="n">
        <v>645</v>
      </c>
      <c r="K610" s="2" t="n">
        <v>0</v>
      </c>
      <c r="L610" s="2" t="n">
        <v>30.6</v>
      </c>
      <c r="M610" s="2" t="s">
        <v>131</v>
      </c>
      <c r="N610" s="3" t="n">
        <v>29</v>
      </c>
      <c r="O610" s="3" t="n">
        <v>36.501</v>
      </c>
      <c r="P610" s="3" t="n">
        <v>21.67</v>
      </c>
      <c r="Q610" s="3" t="s">
        <v>1626</v>
      </c>
      <c r="R610" s="2" t="s">
        <v>365</v>
      </c>
      <c r="S610" s="2"/>
      <c r="T610" s="4" t="n">
        <f aca="false">DATE(VALUE(MID(C610,7,4)),VALUE(MID(C610,4,2)),VALUE(MID(C610,1,2)))+TIME(VALUE(MID(C610,12,2)),VALUE(MID(C610,15,2)),0)</f>
        <v>39492.4229166667</v>
      </c>
      <c r="U610" s="2" t="str">
        <f aca="false">IF(AND(ISNUMBER(VALUE(MID(A610,7,1))),ISNUMBER(SEARCH("km",A610)),ISNUMBER(SEARCH("of",A610))),"Distance-location","Named-region")</f>
        <v>Named-region</v>
      </c>
      <c r="V610" s="2" t="str">
        <f aca="false">LOWER(M610)</f>
        <v>mwc</v>
      </c>
      <c r="W610" s="5" t="str">
        <f aca="false">IF(COUNTIFS($A$2:$A$1001,A610,$C$2:$C$1001,C610)&gt;1,"Duplicate","Unique")</f>
        <v>Unique</v>
      </c>
    </row>
    <row r="611" customFormat="false" ht="15" hidden="false" customHeight="false" outlineLevel="0" collapsed="false">
      <c r="A611" s="2" t="s">
        <v>1627</v>
      </c>
      <c r="B611" s="3" t="n">
        <v>6.5</v>
      </c>
      <c r="C611" s="2" t="s">
        <v>1628</v>
      </c>
      <c r="D611" s="2" t="n">
        <v>7</v>
      </c>
      <c r="E611" s="2" t="n">
        <v>6</v>
      </c>
      <c r="F611" s="2"/>
      <c r="G611" s="2" t="n">
        <v>0</v>
      </c>
      <c r="H611" s="2" t="n">
        <v>723</v>
      </c>
      <c r="I611" s="2" t="s">
        <v>26</v>
      </c>
      <c r="J611" s="2" t="n">
        <v>521</v>
      </c>
      <c r="K611" s="2" t="n">
        <v>0</v>
      </c>
      <c r="L611" s="2" t="n">
        <v>27.6</v>
      </c>
      <c r="M611" s="2" t="s">
        <v>131</v>
      </c>
      <c r="N611" s="3" t="n">
        <v>83</v>
      </c>
      <c r="O611" s="3" t="n">
        <v>16.357</v>
      </c>
      <c r="P611" s="3" t="n">
        <v>-94.304</v>
      </c>
      <c r="Q611" s="3" t="s">
        <v>1629</v>
      </c>
      <c r="R611" s="2"/>
      <c r="S611" s="2" t="s">
        <v>169</v>
      </c>
      <c r="T611" s="4" t="n">
        <f aca="false">DATE(VALUE(MID(C611,7,4)),VALUE(MID(C611,4,2)),VALUE(MID(C611,1,2)))+TIME(VALUE(MID(C611,12,2)),VALUE(MID(C611,15,2)),0)</f>
        <v>39490.5347222222</v>
      </c>
      <c r="U611" s="2" t="str">
        <f aca="false">IF(AND(ISNUMBER(VALUE(MID(A611,7,1))),ISNUMBER(SEARCH("km",A611)),ISNUMBER(SEARCH("of",A611))),"Distance-location","Named-region")</f>
        <v>Named-region</v>
      </c>
      <c r="V611" s="2" t="str">
        <f aca="false">LOWER(M611)</f>
        <v>mwc</v>
      </c>
      <c r="W611" s="5" t="str">
        <f aca="false">IF(COUNTIFS($A$2:$A$1001,A611,$C$2:$C$1001,C611)&gt;1,"Duplicate","Unique")</f>
        <v>Unique</v>
      </c>
    </row>
    <row r="612" customFormat="false" ht="15" hidden="false" customHeight="false" outlineLevel="0" collapsed="false">
      <c r="A612" s="2" t="s">
        <v>1630</v>
      </c>
      <c r="B612" s="3" t="n">
        <v>6.6</v>
      </c>
      <c r="C612" s="2" t="s">
        <v>1631</v>
      </c>
      <c r="D612" s="2" t="n">
        <v>7</v>
      </c>
      <c r="E612" s="2" t="n">
        <v>6</v>
      </c>
      <c r="F612" s="2"/>
      <c r="G612" s="2" t="n">
        <v>0</v>
      </c>
      <c r="H612" s="2" t="n">
        <v>808</v>
      </c>
      <c r="I612" s="2" t="s">
        <v>26</v>
      </c>
      <c r="J612" s="2" t="n">
        <v>461</v>
      </c>
      <c r="K612" s="2" t="n">
        <v>0</v>
      </c>
      <c r="L612" s="2" t="n">
        <v>18.8</v>
      </c>
      <c r="M612" s="2" t="s">
        <v>131</v>
      </c>
      <c r="N612" s="3" t="n">
        <v>20</v>
      </c>
      <c r="O612" s="3" t="n">
        <v>-39.011</v>
      </c>
      <c r="P612" s="3" t="n">
        <v>178.291</v>
      </c>
      <c r="Q612" s="3" t="s">
        <v>346</v>
      </c>
      <c r="R612" s="2"/>
      <c r="S612" s="2"/>
      <c r="T612" s="4" t="n">
        <f aca="false">DATE(VALUE(MID(C612,7,4)),VALUE(MID(C612,4,2)),VALUE(MID(C612,1,2)))+TIME(VALUE(MID(C612,12,2)),VALUE(MID(C612,15,2)),0)</f>
        <v>39436.3298611111</v>
      </c>
      <c r="U612" s="2" t="str">
        <f aca="false">IF(AND(ISNUMBER(VALUE(MID(A612,7,1))),ISNUMBER(SEARCH("km",A612)),ISNUMBER(SEARCH("of",A612))),"Distance-location","Named-region")</f>
        <v>Named-region</v>
      </c>
      <c r="V612" s="2" t="str">
        <f aca="false">LOWER(M612)</f>
        <v>mwc</v>
      </c>
      <c r="W612" s="5" t="str">
        <f aca="false">IF(COUNTIFS($A$2:$A$1001,A612,$C$2:$C$1001,C612)&gt;1,"Duplicate","Unique")</f>
        <v>Unique</v>
      </c>
    </row>
    <row r="613" customFormat="false" ht="15" hidden="false" customHeight="false" outlineLevel="0" collapsed="false">
      <c r="A613" s="2" t="s">
        <v>1632</v>
      </c>
      <c r="B613" s="3" t="n">
        <v>6.7</v>
      </c>
      <c r="C613" s="2" t="s">
        <v>1633</v>
      </c>
      <c r="D613" s="2" t="n">
        <v>5</v>
      </c>
      <c r="E613" s="2" t="n">
        <v>7</v>
      </c>
      <c r="F613" s="2"/>
      <c r="G613" s="2" t="n">
        <v>0</v>
      </c>
      <c r="H613" s="2" t="n">
        <v>704</v>
      </c>
      <c r="I613" s="2" t="s">
        <v>26</v>
      </c>
      <c r="J613" s="2" t="n">
        <v>481</v>
      </c>
      <c r="K613" s="2" t="n">
        <v>0</v>
      </c>
      <c r="L613" s="2" t="n">
        <v>30.3</v>
      </c>
      <c r="M613" s="2" t="s">
        <v>158</v>
      </c>
      <c r="N613" s="3" t="n">
        <v>45</v>
      </c>
      <c r="O613" s="3" t="n">
        <v>-22.954</v>
      </c>
      <c r="P613" s="3" t="n">
        <v>-70.182</v>
      </c>
      <c r="Q613" s="3" t="s">
        <v>1634</v>
      </c>
      <c r="R613" s="2" t="s">
        <v>37</v>
      </c>
      <c r="S613" s="2" t="s">
        <v>377</v>
      </c>
      <c r="T613" s="4" t="n">
        <f aca="false">DATE(VALUE(MID(C613,7,4)),VALUE(MID(C613,4,2)),VALUE(MID(C613,1,2)))+TIME(VALUE(MID(C613,12,2)),VALUE(MID(C613,15,2)),0)</f>
        <v>39432.3395833333</v>
      </c>
      <c r="U613" s="2" t="str">
        <f aca="false">IF(AND(ISNUMBER(VALUE(MID(A613,7,1))),ISNUMBER(SEARCH("km",A613)),ISNUMBER(SEARCH("of",A613))),"Distance-location","Named-region")</f>
        <v>Named-region</v>
      </c>
      <c r="V613" s="2" t="str">
        <f aca="false">LOWER(M613)</f>
        <v>mwb</v>
      </c>
      <c r="W613" s="5" t="str">
        <f aca="false">IF(COUNTIFS($A$2:$A$1001,A613,$C$2:$C$1001,C613)&gt;1,"Duplicate","Unique")</f>
        <v>Unique</v>
      </c>
    </row>
    <row r="614" customFormat="false" ht="15" hidden="false" customHeight="false" outlineLevel="0" collapsed="false">
      <c r="A614" s="2" t="s">
        <v>1635</v>
      </c>
      <c r="B614" s="3" t="n">
        <v>7.4</v>
      </c>
      <c r="C614" s="2" t="s">
        <v>1636</v>
      </c>
      <c r="D614" s="2" t="n">
        <v>7</v>
      </c>
      <c r="E614" s="2" t="n">
        <v>7</v>
      </c>
      <c r="F614" s="2"/>
      <c r="G614" s="2" t="n">
        <v>0</v>
      </c>
      <c r="H614" s="2" t="n">
        <v>1542</v>
      </c>
      <c r="I614" s="2" t="s">
        <v>26</v>
      </c>
      <c r="J614" s="2" t="n">
        <v>663</v>
      </c>
      <c r="K614" s="2" t="n">
        <v>0</v>
      </c>
      <c r="L614" s="2" t="n">
        <v>13.4</v>
      </c>
      <c r="M614" s="2" t="s">
        <v>158</v>
      </c>
      <c r="N614" s="3" t="n">
        <v>156</v>
      </c>
      <c r="O614" s="3" t="n">
        <v>14.944</v>
      </c>
      <c r="P614" s="3" t="n">
        <v>-61.274</v>
      </c>
      <c r="Q614" s="3" t="s">
        <v>1637</v>
      </c>
      <c r="R614" s="2"/>
      <c r="S614" s="2" t="s">
        <v>1638</v>
      </c>
      <c r="T614" s="4" t="n">
        <f aca="false">DATE(VALUE(MID(C614,7,4)),VALUE(MID(C614,4,2)),VALUE(MID(C614,1,2)))+TIME(VALUE(MID(C614,12,2)),VALUE(MID(C614,15,2)),0)</f>
        <v>39415.7916666667</v>
      </c>
      <c r="U614" s="2" t="str">
        <f aca="false">IF(AND(ISNUMBER(VALUE(MID(A614,7,1))),ISNUMBER(SEARCH("km",A614)),ISNUMBER(SEARCH("of",A614))),"Distance-location","Named-region")</f>
        <v>Named-region</v>
      </c>
      <c r="V614" s="2" t="str">
        <f aca="false">LOWER(M614)</f>
        <v>mwb</v>
      </c>
      <c r="W614" s="5" t="str">
        <f aca="false">IF(COUNTIFS($A$2:$A$1001,A614,$C$2:$C$1001,C614)&gt;1,"Duplicate","Unique")</f>
        <v>Unique</v>
      </c>
    </row>
    <row r="615" customFormat="false" ht="15" hidden="false" customHeight="false" outlineLevel="0" collapsed="false">
      <c r="A615" s="2" t="s">
        <v>1639</v>
      </c>
      <c r="B615" s="3" t="n">
        <v>6.6</v>
      </c>
      <c r="C615" s="2" t="s">
        <v>1640</v>
      </c>
      <c r="D615" s="2" t="n">
        <v>3</v>
      </c>
      <c r="E615" s="2" t="n">
        <v>6</v>
      </c>
      <c r="F615" s="2"/>
      <c r="G615" s="2" t="n">
        <v>0</v>
      </c>
      <c r="H615" s="2" t="n">
        <v>672</v>
      </c>
      <c r="I615" s="2" t="s">
        <v>26</v>
      </c>
      <c r="J615" s="2" t="n">
        <v>280</v>
      </c>
      <c r="K615" s="2" t="n">
        <v>0</v>
      </c>
      <c r="L615" s="2" t="n">
        <v>26.9</v>
      </c>
      <c r="M615" s="2" t="s">
        <v>131</v>
      </c>
      <c r="N615" s="3" t="n">
        <v>16</v>
      </c>
      <c r="O615" s="3" t="n">
        <v>-10.95</v>
      </c>
      <c r="P615" s="3" t="n">
        <v>162.149</v>
      </c>
      <c r="Q615" s="3" t="s">
        <v>585</v>
      </c>
      <c r="R615" s="2"/>
      <c r="S615" s="2" t="s">
        <v>144</v>
      </c>
      <c r="T615" s="4" t="n">
        <f aca="false">DATE(VALUE(MID(C615,7,4)),VALUE(MID(C615,4,2)),VALUE(MID(C615,1,2)))+TIME(VALUE(MID(C615,12,2)),VALUE(MID(C615,15,2)),0)</f>
        <v>39413.4923611111</v>
      </c>
      <c r="U615" s="2" t="str">
        <f aca="false">IF(AND(ISNUMBER(VALUE(MID(A615,7,1))),ISNUMBER(SEARCH("km",A615)),ISNUMBER(SEARCH("of",A615))),"Distance-location","Named-region")</f>
        <v>Named-region</v>
      </c>
      <c r="V615" s="2" t="str">
        <f aca="false">LOWER(M615)</f>
        <v>mwc</v>
      </c>
      <c r="W615" s="5" t="str">
        <f aca="false">IF(COUNTIFS($A$2:$A$1001,A615,$C$2:$C$1001,C615)&gt;1,"Duplicate","Unique")</f>
        <v>Unique</v>
      </c>
    </row>
    <row r="616" customFormat="false" ht="15" hidden="false" customHeight="false" outlineLevel="0" collapsed="false">
      <c r="A616" s="2" t="s">
        <v>1641</v>
      </c>
      <c r="B616" s="3" t="n">
        <v>6.5</v>
      </c>
      <c r="C616" s="2" t="s">
        <v>1642</v>
      </c>
      <c r="D616" s="2" t="n">
        <v>5</v>
      </c>
      <c r="E616" s="2" t="n">
        <v>7</v>
      </c>
      <c r="F616" s="2"/>
      <c r="G616" s="2" t="n">
        <v>0</v>
      </c>
      <c r="H616" s="2" t="n">
        <v>653</v>
      </c>
      <c r="I616" s="2" t="s">
        <v>26</v>
      </c>
      <c r="J616" s="2" t="n">
        <v>272</v>
      </c>
      <c r="K616" s="2" t="n">
        <v>0</v>
      </c>
      <c r="L616" s="2" t="n">
        <v>27.6</v>
      </c>
      <c r="M616" s="2" t="s">
        <v>131</v>
      </c>
      <c r="N616" s="3" t="n">
        <v>18</v>
      </c>
      <c r="O616" s="3" t="n">
        <v>-8.224</v>
      </c>
      <c r="P616" s="3" t="n">
        <v>118.467</v>
      </c>
      <c r="Q616" s="3" t="s">
        <v>1643</v>
      </c>
      <c r="R616" s="2"/>
      <c r="S616" s="2" t="s">
        <v>72</v>
      </c>
      <c r="T616" s="4" t="n">
        <f aca="false">DATE(VALUE(MID(C616,7,4)),VALUE(MID(C616,4,2)),VALUE(MID(C616,1,2)))+TIME(VALUE(MID(C616,12,2)),VALUE(MID(C616,15,2)),0)</f>
        <v>39411.8284722222</v>
      </c>
      <c r="U616" s="2" t="str">
        <f aca="false">IF(AND(ISNUMBER(VALUE(MID(A616,7,1))),ISNUMBER(SEARCH("km",A616)),ISNUMBER(SEARCH("of",A616))),"Distance-location","Named-region")</f>
        <v>Named-region</v>
      </c>
      <c r="V616" s="2" t="str">
        <f aca="false">LOWER(M616)</f>
        <v>mwc</v>
      </c>
      <c r="W616" s="5" t="str">
        <f aca="false">IF(COUNTIFS($A$2:$A$1001,A616,$C$2:$C$1001,C616)&gt;1,"Duplicate","Unique")</f>
        <v>Unique</v>
      </c>
    </row>
    <row r="617" customFormat="false" ht="15" hidden="false" customHeight="false" outlineLevel="0" collapsed="false">
      <c r="A617" s="2" t="s">
        <v>1644</v>
      </c>
      <c r="B617" s="3" t="n">
        <v>6.5</v>
      </c>
      <c r="C617" s="2" t="s">
        <v>1645</v>
      </c>
      <c r="D617" s="2" t="n">
        <v>7</v>
      </c>
      <c r="E617" s="2" t="n">
        <v>7</v>
      </c>
      <c r="F617" s="2"/>
      <c r="G617" s="2" t="n">
        <v>0</v>
      </c>
      <c r="H617" s="2" t="n">
        <v>657</v>
      </c>
      <c r="I617" s="2" t="s">
        <v>26</v>
      </c>
      <c r="J617" s="2" t="n">
        <v>353</v>
      </c>
      <c r="K617" s="2" t="n">
        <v>0</v>
      </c>
      <c r="L617" s="2" t="n">
        <v>27.5</v>
      </c>
      <c r="M617" s="2" t="s">
        <v>131</v>
      </c>
      <c r="N617" s="3" t="n">
        <v>20</v>
      </c>
      <c r="O617" s="3" t="n">
        <v>-8.292</v>
      </c>
      <c r="P617" s="3" t="n">
        <v>118.37</v>
      </c>
      <c r="Q617" s="3" t="s">
        <v>1643</v>
      </c>
      <c r="R617" s="2"/>
      <c r="S617" s="2" t="s">
        <v>72</v>
      </c>
      <c r="T617" s="4" t="n">
        <f aca="false">DATE(VALUE(MID(C617,7,4)),VALUE(MID(C617,4,2)),VALUE(MID(C617,1,2)))+TIME(VALUE(MID(C617,12,2)),VALUE(MID(C617,15,2)),0)</f>
        <v>39411.6680555556</v>
      </c>
      <c r="U617" s="2" t="str">
        <f aca="false">IF(AND(ISNUMBER(VALUE(MID(A617,7,1))),ISNUMBER(SEARCH("km",A617)),ISNUMBER(SEARCH("of",A617))),"Distance-location","Named-region")</f>
        <v>Named-region</v>
      </c>
      <c r="V617" s="2" t="str">
        <f aca="false">LOWER(M617)</f>
        <v>mwc</v>
      </c>
      <c r="W617" s="5" t="str">
        <f aca="false">IF(COUNTIFS($A$2:$A$1001,A617,$C$2:$C$1001,C617)&gt;1,"Duplicate","Unique")</f>
        <v>Unique</v>
      </c>
    </row>
    <row r="618" customFormat="false" ht="15" hidden="false" customHeight="false" outlineLevel="0" collapsed="false">
      <c r="A618" s="2" t="s">
        <v>1646</v>
      </c>
      <c r="B618" s="3" t="n">
        <v>6.8</v>
      </c>
      <c r="C618" s="2" t="s">
        <v>1647</v>
      </c>
      <c r="D618" s="2" t="n">
        <v>6</v>
      </c>
      <c r="E618" s="2" t="n">
        <v>6</v>
      </c>
      <c r="F618" s="2"/>
      <c r="G618" s="2" t="n">
        <v>0</v>
      </c>
      <c r="H618" s="2" t="n">
        <v>722</v>
      </c>
      <c r="I618" s="2" t="s">
        <v>26</v>
      </c>
      <c r="J618" s="2" t="n">
        <v>341</v>
      </c>
      <c r="K618" s="2" t="n">
        <v>0</v>
      </c>
      <c r="L618" s="2" t="n">
        <v>15.9</v>
      </c>
      <c r="M618" s="2" t="s">
        <v>131</v>
      </c>
      <c r="N618" s="3" t="n">
        <v>53</v>
      </c>
      <c r="O618" s="3" t="n">
        <v>-5.757</v>
      </c>
      <c r="P618" s="3" t="n">
        <v>147.098</v>
      </c>
      <c r="Q618" s="3" t="s">
        <v>1282</v>
      </c>
      <c r="R618" s="2"/>
      <c r="S618" s="2" t="s">
        <v>89</v>
      </c>
      <c r="T618" s="4" t="n">
        <f aca="false">DATE(VALUE(MID(C618,7,4)),VALUE(MID(C618,4,2)),VALUE(MID(C618,1,2)))+TIME(VALUE(MID(C618,12,2)),VALUE(MID(C618,15,2)),0)</f>
        <v>39408.3666666667</v>
      </c>
      <c r="U618" s="2" t="str">
        <f aca="false">IF(AND(ISNUMBER(VALUE(MID(A618,7,1))),ISNUMBER(SEARCH("km",A618)),ISNUMBER(SEARCH("of",A618))),"Distance-location","Named-region")</f>
        <v>Named-region</v>
      </c>
      <c r="V618" s="2" t="str">
        <f aca="false">LOWER(M618)</f>
        <v>mwc</v>
      </c>
      <c r="W618" s="5" t="str">
        <f aca="false">IF(COUNTIFS($A$2:$A$1001,A618,$C$2:$C$1001,C618)&gt;1,"Duplicate","Unique")</f>
        <v>Unique</v>
      </c>
    </row>
    <row r="619" customFormat="false" ht="15" hidden="false" customHeight="false" outlineLevel="0" collapsed="false">
      <c r="A619" s="2" t="s">
        <v>1648</v>
      </c>
      <c r="B619" s="3" t="n">
        <v>6.8</v>
      </c>
      <c r="C619" s="2" t="s">
        <v>1649</v>
      </c>
      <c r="D619" s="2" t="n">
        <v>7</v>
      </c>
      <c r="E619" s="2" t="n">
        <v>6</v>
      </c>
      <c r="F619" s="2"/>
      <c r="G619" s="2" t="n">
        <v>0</v>
      </c>
      <c r="H619" s="2" t="n">
        <v>790</v>
      </c>
      <c r="I619" s="2" t="s">
        <v>26</v>
      </c>
      <c r="J619" s="2" t="n">
        <v>649</v>
      </c>
      <c r="K619" s="2" t="n">
        <v>0</v>
      </c>
      <c r="L619" s="2" t="n">
        <v>27</v>
      </c>
      <c r="M619" s="2" t="s">
        <v>131</v>
      </c>
      <c r="N619" s="3" t="n">
        <v>122.9</v>
      </c>
      <c r="O619" s="3" t="n">
        <v>-2.312</v>
      </c>
      <c r="P619" s="3" t="n">
        <v>-77.838</v>
      </c>
      <c r="Q619" s="3" t="s">
        <v>1650</v>
      </c>
      <c r="R619" s="2" t="s">
        <v>37</v>
      </c>
      <c r="S619" s="2" t="s">
        <v>100</v>
      </c>
      <c r="T619" s="4" t="n">
        <f aca="false">DATE(VALUE(MID(C619,7,4)),VALUE(MID(C619,4,2)),VALUE(MID(C619,1,2)))+TIME(VALUE(MID(C619,12,2)),VALUE(MID(C619,15,2)),0)</f>
        <v>39402.1340277778</v>
      </c>
      <c r="U619" s="2" t="str">
        <f aca="false">IF(AND(ISNUMBER(VALUE(MID(A619,7,1))),ISNUMBER(SEARCH("km",A619)),ISNUMBER(SEARCH("of",A619))),"Distance-location","Named-region")</f>
        <v>Named-region</v>
      </c>
      <c r="V619" s="2" t="str">
        <f aca="false">LOWER(M619)</f>
        <v>mwc</v>
      </c>
      <c r="W619" s="5" t="str">
        <f aca="false">IF(COUNTIFS($A$2:$A$1001,A619,$C$2:$C$1001,C619)&gt;1,"Duplicate","Unique")</f>
        <v>Unique</v>
      </c>
    </row>
    <row r="620" customFormat="false" ht="15" hidden="false" customHeight="false" outlineLevel="0" collapsed="false">
      <c r="A620" s="2" t="s">
        <v>1651</v>
      </c>
      <c r="B620" s="3" t="n">
        <v>6.8</v>
      </c>
      <c r="C620" s="2" t="s">
        <v>1652</v>
      </c>
      <c r="D620" s="2" t="n">
        <v>6</v>
      </c>
      <c r="E620" s="2" t="n">
        <v>7</v>
      </c>
      <c r="F620" s="2"/>
      <c r="G620" s="2" t="n">
        <v>0</v>
      </c>
      <c r="H620" s="2" t="n">
        <v>716</v>
      </c>
      <c r="I620" s="2" t="s">
        <v>26</v>
      </c>
      <c r="J620" s="2" t="n">
        <v>285</v>
      </c>
      <c r="K620" s="2" t="n">
        <v>0</v>
      </c>
      <c r="L620" s="2" t="n">
        <v>40.1</v>
      </c>
      <c r="M620" s="2" t="s">
        <v>131</v>
      </c>
      <c r="N620" s="3" t="n">
        <v>26</v>
      </c>
      <c r="O620" s="3" t="n">
        <v>-22.925</v>
      </c>
      <c r="P620" s="3" t="n">
        <v>-70.237</v>
      </c>
      <c r="Q620" s="3" t="s">
        <v>1634</v>
      </c>
      <c r="R620" s="2" t="s">
        <v>37</v>
      </c>
      <c r="S620" s="2" t="s">
        <v>377</v>
      </c>
      <c r="T620" s="4" t="n">
        <f aca="false">DATE(VALUE(MID(C620,7,4)),VALUE(MID(C620,4,2)),VALUE(MID(C620,1,2)))+TIME(VALUE(MID(C620,12,2)),VALUE(MID(C620,15,2)),0)</f>
        <v>39401.6284722222</v>
      </c>
      <c r="U620" s="2" t="str">
        <f aca="false">IF(AND(ISNUMBER(VALUE(MID(A620,7,1))),ISNUMBER(SEARCH("km",A620)),ISNUMBER(SEARCH("of",A620))),"Distance-location","Named-region")</f>
        <v>Named-region</v>
      </c>
      <c r="V620" s="2" t="str">
        <f aca="false">LOWER(M620)</f>
        <v>mwc</v>
      </c>
      <c r="W620" s="5" t="str">
        <f aca="false">IF(COUNTIFS($A$2:$A$1001,A620,$C$2:$C$1001,C620)&gt;1,"Duplicate","Unique")</f>
        <v>Unique</v>
      </c>
    </row>
    <row r="621" customFormat="false" ht="15" hidden="false" customHeight="false" outlineLevel="0" collapsed="false">
      <c r="A621" s="2" t="s">
        <v>1653</v>
      </c>
      <c r="B621" s="3" t="n">
        <v>7.7</v>
      </c>
      <c r="C621" s="2" t="s">
        <v>1654</v>
      </c>
      <c r="D621" s="2" t="n">
        <v>8</v>
      </c>
      <c r="E621" s="2" t="n">
        <v>7</v>
      </c>
      <c r="F621" s="2"/>
      <c r="G621" s="2" t="n">
        <v>0</v>
      </c>
      <c r="H621" s="2" t="n">
        <v>995</v>
      </c>
      <c r="I621" s="2" t="s">
        <v>26</v>
      </c>
      <c r="J621" s="2" t="n">
        <v>610</v>
      </c>
      <c r="K621" s="2" t="n">
        <v>0</v>
      </c>
      <c r="L621" s="2" t="n">
        <v>22.4</v>
      </c>
      <c r="M621" s="2" t="s">
        <v>131</v>
      </c>
      <c r="N621" s="3" t="n">
        <v>40</v>
      </c>
      <c r="O621" s="3" t="n">
        <v>-22.247</v>
      </c>
      <c r="P621" s="3" t="n">
        <v>-69.89</v>
      </c>
      <c r="Q621" s="3" t="s">
        <v>1655</v>
      </c>
      <c r="R621" s="2" t="s">
        <v>37</v>
      </c>
      <c r="S621" s="2" t="s">
        <v>377</v>
      </c>
      <c r="T621" s="4" t="n">
        <f aca="false">DATE(VALUE(MID(C621,7,4)),VALUE(MID(C621,4,2)),VALUE(MID(C621,1,2)))+TIME(VALUE(MID(C621,12,2)),VALUE(MID(C621,15,2)),0)</f>
        <v>39400.6527777778</v>
      </c>
      <c r="U621" s="2" t="str">
        <f aca="false">IF(AND(ISNUMBER(VALUE(MID(A621,7,1))),ISNUMBER(SEARCH("km",A621)),ISNUMBER(SEARCH("of",A621))),"Distance-location","Named-region")</f>
        <v>Named-region</v>
      </c>
      <c r="V621" s="2" t="str">
        <f aca="false">LOWER(M621)</f>
        <v>mwc</v>
      </c>
      <c r="W621" s="5" t="str">
        <f aca="false">IF(COUNTIFS($A$2:$A$1001,A621,$C$2:$C$1001,C621)&gt;1,"Duplicate","Unique")</f>
        <v>Unique</v>
      </c>
    </row>
    <row r="622" customFormat="false" ht="15" hidden="false" customHeight="false" outlineLevel="0" collapsed="false">
      <c r="A622" s="2" t="s">
        <v>1656</v>
      </c>
      <c r="B622" s="3" t="n">
        <v>6.8</v>
      </c>
      <c r="C622" s="2" t="s">
        <v>1657</v>
      </c>
      <c r="D622" s="2" t="n">
        <v>3</v>
      </c>
      <c r="E622" s="2" t="n">
        <v>5</v>
      </c>
      <c r="F622" s="2"/>
      <c r="G622" s="2" t="n">
        <v>0</v>
      </c>
      <c r="H622" s="2" t="n">
        <v>713</v>
      </c>
      <c r="I622" s="2" t="s">
        <v>26</v>
      </c>
      <c r="J622" s="2" t="n">
        <v>494</v>
      </c>
      <c r="K622" s="2" t="n">
        <v>0</v>
      </c>
      <c r="L622" s="2" t="n">
        <v>23.9</v>
      </c>
      <c r="M622" s="2" t="s">
        <v>131</v>
      </c>
      <c r="N622" s="3" t="n">
        <v>21</v>
      </c>
      <c r="O622" s="3" t="n">
        <v>-3.899</v>
      </c>
      <c r="P622" s="3" t="n">
        <v>101.02</v>
      </c>
      <c r="Q622" s="3" t="s">
        <v>147</v>
      </c>
      <c r="R622" s="2"/>
      <c r="S622" s="2" t="s">
        <v>72</v>
      </c>
      <c r="T622" s="4" t="n">
        <f aca="false">DATE(VALUE(MID(C622,7,4)),VALUE(MID(C622,4,2)),VALUE(MID(C622,1,2)))+TIME(VALUE(MID(C622,12,2)),VALUE(MID(C622,15,2)),0)</f>
        <v>39379.8763888889</v>
      </c>
      <c r="U622" s="2" t="str">
        <f aca="false">IF(AND(ISNUMBER(VALUE(MID(A622,7,1))),ISNUMBER(SEARCH("km",A622)),ISNUMBER(SEARCH("of",A622))),"Distance-location","Named-region")</f>
        <v>Named-region</v>
      </c>
      <c r="V622" s="2" t="str">
        <f aca="false">LOWER(M622)</f>
        <v>mwc</v>
      </c>
      <c r="W622" s="5" t="str">
        <f aca="false">IF(COUNTIFS($A$2:$A$1001,A622,$C$2:$C$1001,C622)&gt;1,"Duplicate","Unique")</f>
        <v>Unique</v>
      </c>
    </row>
    <row r="623" customFormat="false" ht="15" hidden="false" customHeight="false" outlineLevel="0" collapsed="false">
      <c r="A623" s="2" t="s">
        <v>1658</v>
      </c>
      <c r="B623" s="3" t="n">
        <v>6.8</v>
      </c>
      <c r="C623" s="2" t="s">
        <v>1659</v>
      </c>
      <c r="D623" s="2" t="n">
        <v>4</v>
      </c>
      <c r="E623" s="2" t="n">
        <v>7</v>
      </c>
      <c r="F623" s="2"/>
      <c r="G623" s="2" t="n">
        <v>0</v>
      </c>
      <c r="H623" s="2" t="n">
        <v>744</v>
      </c>
      <c r="I623" s="2" t="s">
        <v>26</v>
      </c>
      <c r="J623" s="2" t="n">
        <v>338</v>
      </c>
      <c r="K623" s="2" t="n">
        <v>0</v>
      </c>
      <c r="L623" s="2" t="n">
        <v>19</v>
      </c>
      <c r="M623" s="2" t="s">
        <v>131</v>
      </c>
      <c r="N623" s="3" t="n">
        <v>18</v>
      </c>
      <c r="O623" s="3" t="n">
        <v>-44.796</v>
      </c>
      <c r="P623" s="3" t="n">
        <v>167.553</v>
      </c>
      <c r="Q623" s="3" t="s">
        <v>1551</v>
      </c>
      <c r="R623" s="2"/>
      <c r="S623" s="2" t="s">
        <v>778</v>
      </c>
      <c r="T623" s="4" t="n">
        <f aca="false">DATE(VALUE(MID(C623,7,4)),VALUE(MID(C623,4,2)),VALUE(MID(C623,1,2)))+TIME(VALUE(MID(C623,12,2)),VALUE(MID(C623,15,2)),0)</f>
        <v>39370.5201388889</v>
      </c>
      <c r="U623" s="2" t="str">
        <f aca="false">IF(AND(ISNUMBER(VALUE(MID(A623,7,1))),ISNUMBER(SEARCH("km",A623)),ISNUMBER(SEARCH("of",A623))),"Distance-location","Named-region")</f>
        <v>Named-region</v>
      </c>
      <c r="V623" s="2" t="str">
        <f aca="false">LOWER(M623)</f>
        <v>mwc</v>
      </c>
      <c r="W623" s="5" t="str">
        <f aca="false">IF(COUNTIFS($A$2:$A$1001,A623,$C$2:$C$1001,C623)&gt;1,"Duplicate","Unique")</f>
        <v>Unique</v>
      </c>
    </row>
    <row r="624" customFormat="false" ht="15" hidden="false" customHeight="false" outlineLevel="0" collapsed="false">
      <c r="A624" s="2" t="s">
        <v>1660</v>
      </c>
      <c r="B624" s="3" t="n">
        <v>6.8</v>
      </c>
      <c r="C624" s="2" t="s">
        <v>1661</v>
      </c>
      <c r="D624" s="2" t="n">
        <v>4</v>
      </c>
      <c r="E624" s="2" t="n">
        <v>5</v>
      </c>
      <c r="F624" s="2"/>
      <c r="G624" s="2" t="n">
        <v>0</v>
      </c>
      <c r="H624" s="2" t="n">
        <v>713</v>
      </c>
      <c r="I624" s="2" t="s">
        <v>26</v>
      </c>
      <c r="J624" s="2" t="n">
        <v>348</v>
      </c>
      <c r="K624" s="2" t="n">
        <v>0</v>
      </c>
      <c r="L624" s="2" t="n">
        <v>15.5</v>
      </c>
      <c r="M624" s="2" t="s">
        <v>131</v>
      </c>
      <c r="N624" s="3" t="n">
        <v>40</v>
      </c>
      <c r="O624" s="3" t="n">
        <v>-4.99</v>
      </c>
      <c r="P624" s="3" t="n">
        <v>153.5</v>
      </c>
      <c r="Q624" s="3" t="s">
        <v>629</v>
      </c>
      <c r="R624" s="2"/>
      <c r="S624" s="2" t="s">
        <v>89</v>
      </c>
      <c r="T624" s="4" t="n">
        <f aca="false">DATE(VALUE(MID(C624,7,4)),VALUE(MID(C624,4,2)),VALUE(MID(C624,1,2)))+TIME(VALUE(MID(C624,12,2)),VALUE(MID(C624,15,2)),0)</f>
        <v>39351.525</v>
      </c>
      <c r="U624" s="2" t="str">
        <f aca="false">IF(AND(ISNUMBER(VALUE(MID(A624,7,1))),ISNUMBER(SEARCH("km",A624)),ISNUMBER(SEARCH("of",A624))),"Distance-location","Named-region")</f>
        <v>Named-region</v>
      </c>
      <c r="V624" s="2" t="str">
        <f aca="false">LOWER(M624)</f>
        <v>mwc</v>
      </c>
      <c r="W624" s="5" t="str">
        <f aca="false">IF(COUNTIFS($A$2:$A$1001,A624,$C$2:$C$1001,C624)&gt;1,"Duplicate","Unique")</f>
        <v>Unique</v>
      </c>
    </row>
    <row r="625" customFormat="false" ht="15" hidden="false" customHeight="false" outlineLevel="0" collapsed="false">
      <c r="A625" s="2" t="s">
        <v>1662</v>
      </c>
      <c r="B625" s="3" t="n">
        <v>6.7</v>
      </c>
      <c r="C625" s="2" t="s">
        <v>1663</v>
      </c>
      <c r="D625" s="2" t="n">
        <v>3</v>
      </c>
      <c r="E625" s="2" t="n">
        <v>5</v>
      </c>
      <c r="F625" s="2"/>
      <c r="G625" s="2" t="n">
        <v>0</v>
      </c>
      <c r="H625" s="2" t="n">
        <v>696</v>
      </c>
      <c r="I625" s="2" t="s">
        <v>26</v>
      </c>
      <c r="J625" s="2" t="n">
        <v>503</v>
      </c>
      <c r="K625" s="2" t="n">
        <v>0</v>
      </c>
      <c r="L625" s="2" t="n">
        <v>26.9</v>
      </c>
      <c r="M625" s="2" t="s">
        <v>131</v>
      </c>
      <c r="N625" s="3" t="n">
        <v>30</v>
      </c>
      <c r="O625" s="3" t="n">
        <v>-1.999</v>
      </c>
      <c r="P625" s="3" t="n">
        <v>100.141</v>
      </c>
      <c r="Q625" s="3" t="s">
        <v>1537</v>
      </c>
      <c r="R625" s="2"/>
      <c r="S625" s="2" t="s">
        <v>72</v>
      </c>
      <c r="T625" s="4" t="n">
        <f aca="false">DATE(VALUE(MID(C625,7,4)),VALUE(MID(C625,4,2)),VALUE(MID(C625,1,2)))+TIME(VALUE(MID(C625,12,2)),VALUE(MID(C625,15,2)),0)</f>
        <v>39345.3548611111</v>
      </c>
      <c r="U625" s="2" t="str">
        <f aca="false">IF(AND(ISNUMBER(VALUE(MID(A625,7,1))),ISNUMBER(SEARCH("km",A625)),ISNUMBER(SEARCH("of",A625))),"Distance-location","Named-region")</f>
        <v>Named-region</v>
      </c>
      <c r="V625" s="2" t="str">
        <f aca="false">LOWER(M625)</f>
        <v>mwc</v>
      </c>
      <c r="W625" s="5" t="str">
        <f aca="false">IF(COUNTIFS($A$2:$A$1001,A625,$C$2:$C$1001,C625)&gt;1,"Duplicate","Unique")</f>
        <v>Unique</v>
      </c>
    </row>
    <row r="626" customFormat="false" ht="15" hidden="false" customHeight="false" outlineLevel="0" collapsed="false">
      <c r="A626" s="2" t="s">
        <v>1664</v>
      </c>
      <c r="B626" s="3" t="n">
        <v>7</v>
      </c>
      <c r="C626" s="2" t="s">
        <v>1665</v>
      </c>
      <c r="D626" s="2" t="n">
        <v>4</v>
      </c>
      <c r="E626" s="2" t="n">
        <v>7</v>
      </c>
      <c r="F626" s="2"/>
      <c r="G626" s="2" t="n">
        <v>0</v>
      </c>
      <c r="H626" s="2" t="n">
        <v>768</v>
      </c>
      <c r="I626" s="2" t="s">
        <v>26</v>
      </c>
      <c r="J626" s="2" t="n">
        <v>537</v>
      </c>
      <c r="K626" s="2" t="n">
        <v>0</v>
      </c>
      <c r="L626" s="2" t="n">
        <v>23.1</v>
      </c>
      <c r="M626" s="2" t="s">
        <v>131</v>
      </c>
      <c r="N626" s="3" t="n">
        <v>22</v>
      </c>
      <c r="O626" s="3" t="n">
        <v>-2.13</v>
      </c>
      <c r="P626" s="3" t="n">
        <v>99.627</v>
      </c>
      <c r="Q626" s="3" t="s">
        <v>1537</v>
      </c>
      <c r="R626" s="2"/>
      <c r="S626" s="2" t="s">
        <v>72</v>
      </c>
      <c r="T626" s="4" t="n">
        <f aca="false">DATE(VALUE(MID(C626,7,4)),VALUE(MID(C626,4,2)),VALUE(MID(C626,1,2)))+TIME(VALUE(MID(C626,12,2)),VALUE(MID(C626,15,2)),0)</f>
        <v>39338.1493055556</v>
      </c>
      <c r="U626" s="2" t="str">
        <f aca="false">IF(AND(ISNUMBER(VALUE(MID(A626,7,1))),ISNUMBER(SEARCH("km",A626)),ISNUMBER(SEARCH("of",A626))),"Distance-location","Named-region")</f>
        <v>Named-region</v>
      </c>
      <c r="V626" s="2" t="str">
        <f aca="false">LOWER(M626)</f>
        <v>mwc</v>
      </c>
      <c r="W626" s="5" t="str">
        <f aca="false">IF(COUNTIFS($A$2:$A$1001,A626,$C$2:$C$1001,C626)&gt;1,"Duplicate","Unique")</f>
        <v>Unique</v>
      </c>
    </row>
    <row r="627" customFormat="false" ht="28.35" hidden="false" customHeight="false" outlineLevel="0" collapsed="false">
      <c r="A627" s="2" t="s">
        <v>1666</v>
      </c>
      <c r="B627" s="3" t="n">
        <v>6.5</v>
      </c>
      <c r="C627" s="2" t="s">
        <v>1667</v>
      </c>
      <c r="D627" s="2" t="n">
        <v>0</v>
      </c>
      <c r="E627" s="2" t="n">
        <v>5</v>
      </c>
      <c r="F627" s="2"/>
      <c r="G627" s="2" t="n">
        <v>0</v>
      </c>
      <c r="H627" s="2" t="n">
        <v>650</v>
      </c>
      <c r="I627" s="2" t="s">
        <v>26</v>
      </c>
      <c r="J627" s="2" t="n">
        <v>409</v>
      </c>
      <c r="K627" s="2" t="n">
        <v>0</v>
      </c>
      <c r="L627" s="2" t="n">
        <v>26.2</v>
      </c>
      <c r="M627" s="2" t="s">
        <v>131</v>
      </c>
      <c r="N627" s="3" t="n">
        <v>28.9</v>
      </c>
      <c r="O627" s="3" t="n">
        <v>-1.689</v>
      </c>
      <c r="P627" s="3" t="n">
        <v>99.668</v>
      </c>
      <c r="Q627" s="3" t="s">
        <v>1668</v>
      </c>
      <c r="R627" s="2"/>
      <c r="S627" s="2" t="s">
        <v>72</v>
      </c>
      <c r="T627" s="4" t="n">
        <f aca="false">DATE(VALUE(MID(C627,7,4)),VALUE(MID(C627,4,2)),VALUE(MID(C627,1,2)))+TIME(VALUE(MID(C627,12,2)),VALUE(MID(C627,15,2)),0)</f>
        <v>39338.1041666667</v>
      </c>
      <c r="U627" s="2" t="str">
        <f aca="false">IF(AND(ISNUMBER(VALUE(MID(A627,7,1))),ISNUMBER(SEARCH("km",A627)),ISNUMBER(SEARCH("of",A627))),"Distance-location","Named-region")</f>
        <v>Named-region</v>
      </c>
      <c r="V627" s="2" t="str">
        <f aca="false">LOWER(M627)</f>
        <v>mwc</v>
      </c>
      <c r="W627" s="5" t="str">
        <f aca="false">IF(COUNTIFS($A$2:$A$1001,A627,$C$2:$C$1001,C627)&gt;1,"Duplicate","Unique")</f>
        <v>Unique</v>
      </c>
    </row>
    <row r="628" customFormat="false" ht="15" hidden="false" customHeight="false" outlineLevel="0" collapsed="false">
      <c r="A628" s="2" t="s">
        <v>1669</v>
      </c>
      <c r="B628" s="3" t="n">
        <v>7.9</v>
      </c>
      <c r="C628" s="2" t="s">
        <v>1670</v>
      </c>
      <c r="D628" s="2" t="n">
        <v>8</v>
      </c>
      <c r="E628" s="2" t="n">
        <v>7</v>
      </c>
      <c r="F628" s="2"/>
      <c r="G628" s="2" t="n">
        <v>0</v>
      </c>
      <c r="H628" s="2" t="n">
        <v>1133</v>
      </c>
      <c r="I628" s="2" t="s">
        <v>26</v>
      </c>
      <c r="J628" s="2" t="n">
        <v>446</v>
      </c>
      <c r="K628" s="2" t="n">
        <v>0</v>
      </c>
      <c r="L628" s="2" t="n">
        <v>29.1</v>
      </c>
      <c r="M628" s="2" t="s">
        <v>131</v>
      </c>
      <c r="N628" s="3" t="n">
        <v>35</v>
      </c>
      <c r="O628" s="3" t="n">
        <v>-2.625</v>
      </c>
      <c r="P628" s="3" t="n">
        <v>100.841</v>
      </c>
      <c r="Q628" s="3" t="s">
        <v>813</v>
      </c>
      <c r="R628" s="2"/>
      <c r="S628" s="2" t="s">
        <v>72</v>
      </c>
      <c r="T628" s="4" t="n">
        <f aca="false">DATE(VALUE(MID(C628,7,4)),VALUE(MID(C628,4,2)),VALUE(MID(C628,1,2)))+TIME(VALUE(MID(C628,12,2)),VALUE(MID(C628,15,2)),0)</f>
        <v>39337.9923611111</v>
      </c>
      <c r="U628" s="2" t="str">
        <f aca="false">IF(AND(ISNUMBER(VALUE(MID(A628,7,1))),ISNUMBER(SEARCH("km",A628)),ISNUMBER(SEARCH("of",A628))),"Distance-location","Named-region")</f>
        <v>Named-region</v>
      </c>
      <c r="V628" s="2" t="str">
        <f aca="false">LOWER(M628)</f>
        <v>mwc</v>
      </c>
      <c r="W628" s="5" t="str">
        <f aca="false">IF(COUNTIFS($A$2:$A$1001,A628,$C$2:$C$1001,C628)&gt;1,"Duplicate","Unique")</f>
        <v>Unique</v>
      </c>
    </row>
    <row r="629" customFormat="false" ht="15" hidden="false" customHeight="false" outlineLevel="0" collapsed="false">
      <c r="A629" s="2" t="s">
        <v>1671</v>
      </c>
      <c r="B629" s="3" t="n">
        <v>7.8</v>
      </c>
      <c r="C629" s="2" t="s">
        <v>1670</v>
      </c>
      <c r="D629" s="2" t="n">
        <v>7</v>
      </c>
      <c r="E629" s="2" t="n">
        <v>8</v>
      </c>
      <c r="F629" s="2"/>
      <c r="G629" s="2" t="n">
        <v>0</v>
      </c>
      <c r="H629" s="2" t="n">
        <v>1152</v>
      </c>
      <c r="I629" s="2" t="s">
        <v>1593</v>
      </c>
      <c r="J629" s="2" t="n">
        <v>0</v>
      </c>
      <c r="K629" s="2" t="n">
        <v>0</v>
      </c>
      <c r="L629" s="2" t="n">
        <v>0</v>
      </c>
      <c r="M629" s="2" t="s">
        <v>27</v>
      </c>
      <c r="N629" s="3" t="n">
        <v>40.5</v>
      </c>
      <c r="O629" s="3" t="n">
        <v>-2.52</v>
      </c>
      <c r="P629" s="3" t="n">
        <v>100.139</v>
      </c>
      <c r="Q629" s="3" t="s">
        <v>813</v>
      </c>
      <c r="R629" s="2" t="s">
        <v>84</v>
      </c>
      <c r="S629" s="2" t="s">
        <v>72</v>
      </c>
      <c r="T629" s="4" t="n">
        <f aca="false">DATE(VALUE(MID(C629,7,4)),VALUE(MID(C629,4,2)),VALUE(MID(C629,1,2)))+TIME(VALUE(MID(C629,12,2)),VALUE(MID(C629,15,2)),0)</f>
        <v>39337.9923611111</v>
      </c>
      <c r="U629" s="2" t="str">
        <f aca="false">IF(AND(ISNUMBER(VALUE(MID(A629,7,1))),ISNUMBER(SEARCH("km",A629)),ISNUMBER(SEARCH("of",A629))),"Distance-location","Named-region")</f>
        <v>Named-region</v>
      </c>
      <c r="V629" s="2" t="str">
        <f aca="false">LOWER(M629)</f>
        <v>mww</v>
      </c>
      <c r="W629" s="5" t="str">
        <f aca="false">IF(COUNTIFS($A$2:$A$1001,A629,$C$2:$C$1001,C629)&gt;1,"Duplicate","Unique")</f>
        <v>Unique</v>
      </c>
    </row>
    <row r="630" customFormat="false" ht="15" hidden="false" customHeight="false" outlineLevel="0" collapsed="false">
      <c r="A630" s="2" t="s">
        <v>1672</v>
      </c>
      <c r="B630" s="3" t="n">
        <v>8.4</v>
      </c>
      <c r="C630" s="2" t="s">
        <v>1673</v>
      </c>
      <c r="D630" s="2" t="n">
        <v>0</v>
      </c>
      <c r="E630" s="2" t="n">
        <v>6</v>
      </c>
      <c r="F630" s="2"/>
      <c r="G630" s="2" t="n">
        <v>0</v>
      </c>
      <c r="H630" s="2" t="n">
        <v>1086</v>
      </c>
      <c r="I630" s="2" t="s">
        <v>1297</v>
      </c>
      <c r="J630" s="2" t="n">
        <v>411</v>
      </c>
      <c r="K630" s="2" t="n">
        <v>0</v>
      </c>
      <c r="L630" s="2" t="n">
        <v>32.3</v>
      </c>
      <c r="M630" s="2" t="s">
        <v>27</v>
      </c>
      <c r="N630" s="3" t="n">
        <v>34</v>
      </c>
      <c r="O630" s="3" t="n">
        <v>-4.438</v>
      </c>
      <c r="P630" s="3" t="n">
        <v>101.367</v>
      </c>
      <c r="Q630" s="3" t="s">
        <v>147</v>
      </c>
      <c r="R630" s="2"/>
      <c r="S630" s="2" t="s">
        <v>72</v>
      </c>
      <c r="T630" s="4" t="n">
        <f aca="false">DATE(VALUE(MID(C630,7,4)),VALUE(MID(C630,4,2)),VALUE(MID(C630,1,2)))+TIME(VALUE(MID(C630,12,2)),VALUE(MID(C630,15,2)),0)</f>
        <v>39337.4652777778</v>
      </c>
      <c r="U630" s="2" t="str">
        <f aca="false">IF(AND(ISNUMBER(VALUE(MID(A630,7,1))),ISNUMBER(SEARCH("km",A630)),ISNUMBER(SEARCH("of",A630))),"Distance-location","Named-region")</f>
        <v>Named-region</v>
      </c>
      <c r="V630" s="2" t="str">
        <f aca="false">LOWER(M630)</f>
        <v>mww</v>
      </c>
      <c r="W630" s="5" t="str">
        <f aca="false">IF(COUNTIFS($A$2:$A$1001,A630,$C$2:$C$1001,C630)&gt;1,"Duplicate","Unique")</f>
        <v>Unique</v>
      </c>
    </row>
    <row r="631" customFormat="false" ht="15" hidden="false" customHeight="false" outlineLevel="0" collapsed="false">
      <c r="A631" s="2" t="s">
        <v>1674</v>
      </c>
      <c r="B631" s="3" t="n">
        <v>6.8</v>
      </c>
      <c r="C631" s="2" t="s">
        <v>1675</v>
      </c>
      <c r="D631" s="2" t="n">
        <v>5</v>
      </c>
      <c r="E631" s="2" t="n">
        <v>6</v>
      </c>
      <c r="F631" s="2"/>
      <c r="G631" s="2" t="n">
        <v>0</v>
      </c>
      <c r="H631" s="2" t="n">
        <v>747</v>
      </c>
      <c r="I631" s="2" t="s">
        <v>26</v>
      </c>
      <c r="J631" s="2" t="n">
        <v>653</v>
      </c>
      <c r="K631" s="2" t="n">
        <v>0</v>
      </c>
      <c r="L631" s="2" t="n">
        <v>17.6</v>
      </c>
      <c r="M631" s="2" t="s">
        <v>131</v>
      </c>
      <c r="N631" s="3" t="n">
        <v>15</v>
      </c>
      <c r="O631" s="3" t="n">
        <v>2.966</v>
      </c>
      <c r="P631" s="3" t="n">
        <v>-77.963</v>
      </c>
      <c r="Q631" s="3" t="s">
        <v>1676</v>
      </c>
      <c r="R631" s="2"/>
      <c r="S631" s="2" t="s">
        <v>58</v>
      </c>
      <c r="T631" s="4" t="n">
        <f aca="false">DATE(VALUE(MID(C631,7,4)),VALUE(MID(C631,4,2)),VALUE(MID(C631,1,2)))+TIME(VALUE(MID(C631,12,2)),VALUE(MID(C631,15,2)),0)</f>
        <v>39335.0756944444</v>
      </c>
      <c r="U631" s="2" t="str">
        <f aca="false">IF(AND(ISNUMBER(VALUE(MID(A631,7,1))),ISNUMBER(SEARCH("km",A631)),ISNUMBER(SEARCH("of",A631))),"Distance-location","Named-region")</f>
        <v>Named-region</v>
      </c>
      <c r="V631" s="2" t="str">
        <f aca="false">LOWER(M631)</f>
        <v>mwc</v>
      </c>
      <c r="W631" s="5" t="str">
        <f aca="false">IF(COUNTIFS($A$2:$A$1001,A631,$C$2:$C$1001,C631)&gt;1,"Duplicate","Unique")</f>
        <v>Unique</v>
      </c>
    </row>
    <row r="632" customFormat="false" ht="15" hidden="false" customHeight="false" outlineLevel="0" collapsed="false">
      <c r="A632" s="2" t="s">
        <v>1677</v>
      </c>
      <c r="B632" s="3" t="n">
        <v>7.2</v>
      </c>
      <c r="C632" s="2" t="s">
        <v>1678</v>
      </c>
      <c r="D632" s="2" t="n">
        <v>0</v>
      </c>
      <c r="E632" s="2" t="n">
        <v>5</v>
      </c>
      <c r="F632" s="2"/>
      <c r="G632" s="2" t="n">
        <v>0</v>
      </c>
      <c r="H632" s="2" t="n">
        <v>798</v>
      </c>
      <c r="I632" s="2" t="s">
        <v>26</v>
      </c>
      <c r="J632" s="2" t="n">
        <v>312</v>
      </c>
      <c r="K632" s="2" t="n">
        <v>0</v>
      </c>
      <c r="L632" s="2" t="n">
        <v>21.3</v>
      </c>
      <c r="M632" s="2" t="s">
        <v>131</v>
      </c>
      <c r="N632" s="3" t="n">
        <v>35</v>
      </c>
      <c r="O632" s="3" t="n">
        <v>-11.61</v>
      </c>
      <c r="P632" s="3" t="n">
        <v>165.762</v>
      </c>
      <c r="Q632" s="3" t="s">
        <v>416</v>
      </c>
      <c r="R632" s="2"/>
      <c r="S632" s="2"/>
      <c r="T632" s="4" t="n">
        <f aca="false">DATE(VALUE(MID(C632,7,4)),VALUE(MID(C632,4,2)),VALUE(MID(C632,1,2)))+TIME(VALUE(MID(C632,12,2)),VALUE(MID(C632,15,2)),0)</f>
        <v>39327.0451388889</v>
      </c>
      <c r="U632" s="2" t="str">
        <f aca="false">IF(AND(ISNUMBER(VALUE(MID(A632,7,1))),ISNUMBER(SEARCH("km",A632)),ISNUMBER(SEARCH("of",A632))),"Distance-location","Named-region")</f>
        <v>Named-region</v>
      </c>
      <c r="V632" s="2" t="str">
        <f aca="false">LOWER(M632)</f>
        <v>mwc</v>
      </c>
      <c r="W632" s="5" t="str">
        <f aca="false">IF(COUNTIFS($A$2:$A$1001,A632,$C$2:$C$1001,C632)&gt;1,"Duplicate","Unique")</f>
        <v>Unique</v>
      </c>
    </row>
    <row r="633" customFormat="false" ht="15" hidden="false" customHeight="false" outlineLevel="0" collapsed="false">
      <c r="A633" s="2" t="s">
        <v>1679</v>
      </c>
      <c r="B633" s="3" t="n">
        <v>6.5</v>
      </c>
      <c r="C633" s="2" t="s">
        <v>1680</v>
      </c>
      <c r="D633" s="2" t="n">
        <v>5</v>
      </c>
      <c r="E633" s="2" t="n">
        <v>6</v>
      </c>
      <c r="F633" s="2"/>
      <c r="G633" s="2" t="n">
        <v>0</v>
      </c>
      <c r="H633" s="2" t="n">
        <v>675</v>
      </c>
      <c r="I633" s="2" t="s">
        <v>26</v>
      </c>
      <c r="J633" s="2" t="n">
        <v>382</v>
      </c>
      <c r="K633" s="2" t="n">
        <v>0</v>
      </c>
      <c r="L633" s="2" t="n">
        <v>12.8</v>
      </c>
      <c r="M633" s="2" t="s">
        <v>131</v>
      </c>
      <c r="N633" s="3" t="n">
        <v>15</v>
      </c>
      <c r="O633" s="3" t="n">
        <v>-9.834</v>
      </c>
      <c r="P633" s="3" t="n">
        <v>159.465</v>
      </c>
      <c r="Q633" s="3" t="s">
        <v>142</v>
      </c>
      <c r="R633" s="2"/>
      <c r="S633" s="2"/>
      <c r="T633" s="4" t="n">
        <f aca="false">DATE(VALUE(MID(C633,7,4)),VALUE(MID(C633,4,2)),VALUE(MID(C633,1,2)))+TIME(VALUE(MID(C633,12,2)),VALUE(MID(C633,15,2)),0)</f>
        <v>39310.3604166667</v>
      </c>
      <c r="U633" s="2" t="str">
        <f aca="false">IF(AND(ISNUMBER(VALUE(MID(A633,7,1))),ISNUMBER(SEARCH("km",A633)),ISNUMBER(SEARCH("of",A633))),"Distance-location","Named-region")</f>
        <v>Named-region</v>
      </c>
      <c r="V633" s="2" t="str">
        <f aca="false">LOWER(M633)</f>
        <v>mwc</v>
      </c>
      <c r="W633" s="5" t="str">
        <f aca="false">IF(COUNTIFS($A$2:$A$1001,A633,$C$2:$C$1001,C633)&gt;1,"Duplicate","Unique")</f>
        <v>Unique</v>
      </c>
    </row>
    <row r="634" customFormat="false" ht="15" hidden="false" customHeight="false" outlineLevel="0" collapsed="false">
      <c r="A634" s="2" t="s">
        <v>1681</v>
      </c>
      <c r="B634" s="3" t="n">
        <v>8</v>
      </c>
      <c r="C634" s="2" t="s">
        <v>1682</v>
      </c>
      <c r="D634" s="2" t="n">
        <v>9</v>
      </c>
      <c r="E634" s="2" t="n">
        <v>8</v>
      </c>
      <c r="F634" s="2"/>
      <c r="G634" s="2" t="n">
        <v>0</v>
      </c>
      <c r="H634" s="2" t="n">
        <v>1385</v>
      </c>
      <c r="I634" s="2" t="s">
        <v>26</v>
      </c>
      <c r="J634" s="2" t="n">
        <v>625</v>
      </c>
      <c r="K634" s="2" t="n">
        <v>0</v>
      </c>
      <c r="L634" s="2" t="n">
        <v>25.7</v>
      </c>
      <c r="M634" s="2" t="s">
        <v>131</v>
      </c>
      <c r="N634" s="3" t="n">
        <v>39</v>
      </c>
      <c r="O634" s="3" t="n">
        <v>-13.386</v>
      </c>
      <c r="P634" s="3" t="n">
        <v>-76.603</v>
      </c>
      <c r="Q634" s="3" t="s">
        <v>1683</v>
      </c>
      <c r="R634" s="2"/>
      <c r="S634" s="2" t="s">
        <v>203</v>
      </c>
      <c r="T634" s="4" t="n">
        <f aca="false">DATE(VALUE(MID(C634,7,4)),VALUE(MID(C634,4,2)),VALUE(MID(C634,1,2)))+TIME(VALUE(MID(C634,12,2)),VALUE(MID(C634,15,2)),0)</f>
        <v>39309.9861111111</v>
      </c>
      <c r="U634" s="2" t="str">
        <f aca="false">IF(AND(ISNUMBER(VALUE(MID(A634,7,1))),ISNUMBER(SEARCH("km",A634)),ISNUMBER(SEARCH("of",A634))),"Distance-location","Named-region")</f>
        <v>Named-region</v>
      </c>
      <c r="V634" s="2" t="str">
        <f aca="false">LOWER(M634)</f>
        <v>mwc</v>
      </c>
      <c r="W634" s="5" t="str">
        <f aca="false">IF(COUNTIFS($A$2:$A$1001,A634,$C$2:$C$1001,C634)&gt;1,"Duplicate","Unique")</f>
        <v>Unique</v>
      </c>
    </row>
    <row r="635" customFormat="false" ht="15" hidden="false" customHeight="false" outlineLevel="0" collapsed="false">
      <c r="A635" s="2" t="s">
        <v>1684</v>
      </c>
      <c r="B635" s="3" t="n">
        <v>7.5</v>
      </c>
      <c r="C635" s="2" t="s">
        <v>1685</v>
      </c>
      <c r="D635" s="2" t="n">
        <v>0</v>
      </c>
      <c r="E635" s="2" t="n">
        <v>5</v>
      </c>
      <c r="F635" s="2"/>
      <c r="G635" s="2" t="n">
        <v>0</v>
      </c>
      <c r="H635" s="2" t="n">
        <v>865</v>
      </c>
      <c r="I635" s="2" t="s">
        <v>26</v>
      </c>
      <c r="J635" s="2" t="n">
        <v>228</v>
      </c>
      <c r="K635" s="2" t="n">
        <v>0</v>
      </c>
      <c r="L635" s="2" t="n">
        <v>30.7</v>
      </c>
      <c r="M635" s="2" t="s">
        <v>131</v>
      </c>
      <c r="N635" s="3" t="n">
        <v>280</v>
      </c>
      <c r="O635" s="3" t="n">
        <v>-5.859</v>
      </c>
      <c r="P635" s="3" t="n">
        <v>107.419</v>
      </c>
      <c r="Q635" s="3" t="s">
        <v>1686</v>
      </c>
      <c r="R635" s="2"/>
      <c r="S635" s="2" t="s">
        <v>72</v>
      </c>
      <c r="T635" s="4" t="n">
        <f aca="false">DATE(VALUE(MID(C635,7,4)),VALUE(MID(C635,4,2)),VALUE(MID(C635,1,2)))+TIME(VALUE(MID(C635,12,2)),VALUE(MID(C635,15,2)),0)</f>
        <v>39302.7118055556</v>
      </c>
      <c r="U635" s="2" t="str">
        <f aca="false">IF(AND(ISNUMBER(VALUE(MID(A635,7,1))),ISNUMBER(SEARCH("km",A635)),ISNUMBER(SEARCH("of",A635))),"Distance-location","Named-region")</f>
        <v>Named-region</v>
      </c>
      <c r="V635" s="2" t="str">
        <f aca="false">LOWER(M635)</f>
        <v>mwc</v>
      </c>
      <c r="W635" s="5" t="str">
        <f aca="false">IF(COUNTIFS($A$2:$A$1001,A635,$C$2:$C$1001,C635)&gt;1,"Duplicate","Unique")</f>
        <v>Unique</v>
      </c>
    </row>
    <row r="636" customFormat="false" ht="15" hidden="false" customHeight="false" outlineLevel="0" collapsed="false">
      <c r="A636" s="2" t="s">
        <v>1687</v>
      </c>
      <c r="B636" s="3" t="n">
        <v>7.2</v>
      </c>
      <c r="C636" s="2" t="s">
        <v>1688</v>
      </c>
      <c r="D636" s="2" t="n">
        <v>7</v>
      </c>
      <c r="E636" s="2" t="n">
        <v>7</v>
      </c>
      <c r="F636" s="2"/>
      <c r="G636" s="2" t="n">
        <v>0</v>
      </c>
      <c r="H636" s="2" t="n">
        <v>803</v>
      </c>
      <c r="I636" s="2" t="s">
        <v>26</v>
      </c>
      <c r="J636" s="2" t="n">
        <v>494</v>
      </c>
      <c r="K636" s="2" t="n">
        <v>0</v>
      </c>
      <c r="L636" s="2" t="n">
        <v>20.4</v>
      </c>
      <c r="M636" s="2" t="s">
        <v>158</v>
      </c>
      <c r="N636" s="3" t="n">
        <v>120</v>
      </c>
      <c r="O636" s="3" t="n">
        <v>-15.595</v>
      </c>
      <c r="P636" s="3" t="n">
        <v>167.68</v>
      </c>
      <c r="Q636" s="3" t="s">
        <v>1689</v>
      </c>
      <c r="R636" s="2"/>
      <c r="S636" s="2" t="s">
        <v>29</v>
      </c>
      <c r="T636" s="4" t="n">
        <f aca="false">DATE(VALUE(MID(C636,7,4)),VALUE(MID(C636,4,2)),VALUE(MID(C636,1,2)))+TIME(VALUE(MID(C636,12,2)),VALUE(MID(C636,15,2)),0)</f>
        <v>39295.7138888889</v>
      </c>
      <c r="U636" s="2" t="str">
        <f aca="false">IF(AND(ISNUMBER(VALUE(MID(A636,7,1))),ISNUMBER(SEARCH("km",A636)),ISNUMBER(SEARCH("of",A636))),"Distance-location","Named-region")</f>
        <v>Named-region</v>
      </c>
      <c r="V636" s="2" t="str">
        <f aca="false">LOWER(M636)</f>
        <v>mwb</v>
      </c>
      <c r="W636" s="5" t="str">
        <f aca="false">IF(COUNTIFS($A$2:$A$1001,A636,$C$2:$C$1001,C636)&gt;1,"Duplicate","Unique")</f>
        <v>Unique</v>
      </c>
    </row>
    <row r="637" customFormat="false" ht="15" hidden="false" customHeight="false" outlineLevel="0" collapsed="false">
      <c r="A637" s="2" t="s">
        <v>1690</v>
      </c>
      <c r="B637" s="3" t="n">
        <v>6.9</v>
      </c>
      <c r="C637" s="2" t="s">
        <v>1691</v>
      </c>
      <c r="D637" s="2" t="n">
        <v>3</v>
      </c>
      <c r="E637" s="2" t="n">
        <v>5</v>
      </c>
      <c r="F637" s="2"/>
      <c r="G637" s="2" t="n">
        <v>0</v>
      </c>
      <c r="H637" s="2" t="n">
        <v>734</v>
      </c>
      <c r="I637" s="2" t="s">
        <v>26</v>
      </c>
      <c r="J637" s="2" t="n">
        <v>374</v>
      </c>
      <c r="K637" s="2" t="n">
        <v>0</v>
      </c>
      <c r="L637" s="2" t="n">
        <v>24.1</v>
      </c>
      <c r="M637" s="2" t="s">
        <v>158</v>
      </c>
      <c r="N637" s="3" t="n">
        <v>25</v>
      </c>
      <c r="O637" s="3" t="n">
        <v>2.872</v>
      </c>
      <c r="P637" s="3" t="n">
        <v>127.464</v>
      </c>
      <c r="Q637" s="3" t="s">
        <v>132</v>
      </c>
      <c r="R637" s="2"/>
      <c r="S637" s="2" t="s">
        <v>72</v>
      </c>
      <c r="T637" s="4" t="n">
        <f aca="false">DATE(VALUE(MID(C637,7,4)),VALUE(MID(C637,4,2)),VALUE(MID(C637,1,2)))+TIME(VALUE(MID(C637,12,2)),VALUE(MID(C637,15,2)),0)</f>
        <v>39289.2361111111</v>
      </c>
      <c r="U637" s="2" t="str">
        <f aca="false">IF(AND(ISNUMBER(VALUE(MID(A637,7,1))),ISNUMBER(SEARCH("km",A637)),ISNUMBER(SEARCH("of",A637))),"Distance-location","Named-region")</f>
        <v>Named-region</v>
      </c>
      <c r="V637" s="2" t="str">
        <f aca="false">LOWER(M637)</f>
        <v>mwb</v>
      </c>
      <c r="W637" s="5" t="str">
        <f aca="false">IF(COUNTIFS($A$2:$A$1001,A637,$C$2:$C$1001,C637)&gt;1,"Duplicate","Unique")</f>
        <v>Unique</v>
      </c>
    </row>
    <row r="638" customFormat="false" ht="15" hidden="false" customHeight="false" outlineLevel="0" collapsed="false">
      <c r="A638" s="2" t="s">
        <v>1692</v>
      </c>
      <c r="B638" s="3" t="n">
        <v>6.8</v>
      </c>
      <c r="C638" s="2" t="s">
        <v>1693</v>
      </c>
      <c r="D638" s="2" t="n">
        <v>5</v>
      </c>
      <c r="E638" s="2" t="n">
        <v>4</v>
      </c>
      <c r="F638" s="2"/>
      <c r="G638" s="2" t="n">
        <v>0</v>
      </c>
      <c r="H638" s="2" t="n">
        <v>779</v>
      </c>
      <c r="I638" s="2" t="s">
        <v>26</v>
      </c>
      <c r="J638" s="2" t="n">
        <v>664</v>
      </c>
      <c r="K638" s="2" t="n">
        <v>0</v>
      </c>
      <c r="L638" s="2" t="n">
        <v>18.2</v>
      </c>
      <c r="M638" s="2" t="s">
        <v>158</v>
      </c>
      <c r="N638" s="3" t="n">
        <v>350.4</v>
      </c>
      <c r="O638" s="3" t="n">
        <v>36.808</v>
      </c>
      <c r="P638" s="3" t="n">
        <v>134.85</v>
      </c>
      <c r="Q638" s="3" t="s">
        <v>1694</v>
      </c>
      <c r="R638" s="2"/>
      <c r="S638" s="2"/>
      <c r="T638" s="4" t="n">
        <f aca="false">DATE(VALUE(MID(C638,7,4)),VALUE(MID(C638,4,2)),VALUE(MID(C638,1,2)))+TIME(VALUE(MID(C638,12,2)),VALUE(MID(C638,15,2)),0)</f>
        <v>39279.5951388889</v>
      </c>
      <c r="U638" s="2" t="str">
        <f aca="false">IF(AND(ISNUMBER(VALUE(MID(A638,7,1))),ISNUMBER(SEARCH("km",A638)),ISNUMBER(SEARCH("of",A638))),"Distance-location","Named-region")</f>
        <v>Named-region</v>
      </c>
      <c r="V638" s="2" t="str">
        <f aca="false">LOWER(M638)</f>
        <v>mwb</v>
      </c>
      <c r="W638" s="5" t="str">
        <f aca="false">IF(COUNTIFS($A$2:$A$1001,A638,$C$2:$C$1001,C638)&gt;1,"Duplicate","Unique")</f>
        <v>Unique</v>
      </c>
    </row>
    <row r="639" customFormat="false" ht="15" hidden="false" customHeight="false" outlineLevel="0" collapsed="false">
      <c r="A639" s="2" t="s">
        <v>1695</v>
      </c>
      <c r="B639" s="3" t="n">
        <v>6.6</v>
      </c>
      <c r="C639" s="2" t="s">
        <v>1696</v>
      </c>
      <c r="D639" s="2" t="n">
        <v>8</v>
      </c>
      <c r="E639" s="2" t="n">
        <v>8</v>
      </c>
      <c r="F639" s="2"/>
      <c r="G639" s="2" t="n">
        <v>0</v>
      </c>
      <c r="H639" s="2" t="n">
        <v>831</v>
      </c>
      <c r="I639" s="2" t="s">
        <v>26</v>
      </c>
      <c r="J639" s="2" t="n">
        <v>782</v>
      </c>
      <c r="K639" s="2" t="n">
        <v>0</v>
      </c>
      <c r="L639" s="2" t="n">
        <v>16.7</v>
      </c>
      <c r="M639" s="2" t="s">
        <v>131</v>
      </c>
      <c r="N639" s="3" t="n">
        <v>12</v>
      </c>
      <c r="O639" s="3" t="n">
        <v>37.535</v>
      </c>
      <c r="P639" s="3" t="n">
        <v>138.446</v>
      </c>
      <c r="Q639" s="3" t="s">
        <v>1697</v>
      </c>
      <c r="R639" s="2" t="s">
        <v>84</v>
      </c>
      <c r="S639" s="2" t="s">
        <v>326</v>
      </c>
      <c r="T639" s="4" t="n">
        <f aca="false">DATE(VALUE(MID(C639,7,4)),VALUE(MID(C639,4,2)),VALUE(MID(C639,1,2)))+TIME(VALUE(MID(C639,12,2)),VALUE(MID(C639,15,2)),0)</f>
        <v>39279.0506944444</v>
      </c>
      <c r="U639" s="2" t="str">
        <f aca="false">IF(AND(ISNUMBER(VALUE(MID(A639,7,1))),ISNUMBER(SEARCH("km",A639)),ISNUMBER(SEARCH("of",A639))),"Distance-location","Named-region")</f>
        <v>Named-region</v>
      </c>
      <c r="V639" s="2" t="str">
        <f aca="false">LOWER(M639)</f>
        <v>mwc</v>
      </c>
      <c r="W639" s="5" t="str">
        <f aca="false">IF(COUNTIFS($A$2:$A$1001,A639,$C$2:$C$1001,C639)&gt;1,"Duplicate","Unique")</f>
        <v>Unique</v>
      </c>
    </row>
    <row r="640" customFormat="false" ht="15" hidden="false" customHeight="false" outlineLevel="0" collapsed="false">
      <c r="A640" s="2" t="s">
        <v>1698</v>
      </c>
      <c r="B640" s="3" t="n">
        <v>6.7</v>
      </c>
      <c r="C640" s="2" t="s">
        <v>1699</v>
      </c>
      <c r="D640" s="2" t="n">
        <v>6</v>
      </c>
      <c r="E640" s="2" t="n">
        <v>6</v>
      </c>
      <c r="F640" s="2"/>
      <c r="G640" s="2" t="n">
        <v>0</v>
      </c>
      <c r="H640" s="2" t="n">
        <v>972</v>
      </c>
      <c r="I640" s="2" t="s">
        <v>26</v>
      </c>
      <c r="J640" s="2" t="n">
        <v>468</v>
      </c>
      <c r="K640" s="2" t="n">
        <v>0</v>
      </c>
      <c r="L640" s="2" t="n">
        <v>37.7</v>
      </c>
      <c r="M640" s="2" t="s">
        <v>131</v>
      </c>
      <c r="N640" s="3" t="n">
        <v>23</v>
      </c>
      <c r="O640" s="3" t="n">
        <v>13.554</v>
      </c>
      <c r="P640" s="3" t="n">
        <v>-90.618</v>
      </c>
      <c r="Q640" s="3" t="s">
        <v>1700</v>
      </c>
      <c r="R640" s="2"/>
      <c r="S640" s="2"/>
      <c r="T640" s="4" t="n">
        <f aca="false">DATE(VALUE(MID(C640,7,4)),VALUE(MID(C640,4,2)),VALUE(MID(C640,1,2)))+TIME(VALUE(MID(C640,12,2)),VALUE(MID(C640,15,2)),0)</f>
        <v>39246.8118055556</v>
      </c>
      <c r="U640" s="2" t="str">
        <f aca="false">IF(AND(ISNUMBER(VALUE(MID(A640,7,1))),ISNUMBER(SEARCH("km",A640)),ISNUMBER(SEARCH("of",A640))),"Distance-location","Named-region")</f>
        <v>Named-region</v>
      </c>
      <c r="V640" s="2" t="str">
        <f aca="false">LOWER(M640)</f>
        <v>mwc</v>
      </c>
      <c r="W640" s="5" t="str">
        <f aca="false">IF(COUNTIFS($A$2:$A$1001,A640,$C$2:$C$1001,C640)&gt;1,"Duplicate","Unique")</f>
        <v>Unique</v>
      </c>
    </row>
    <row r="641" customFormat="false" ht="15" hidden="false" customHeight="false" outlineLevel="0" collapsed="false">
      <c r="A641" s="2" t="s">
        <v>1701</v>
      </c>
      <c r="B641" s="3" t="n">
        <v>6.9</v>
      </c>
      <c r="C641" s="2" t="s">
        <v>1702</v>
      </c>
      <c r="D641" s="2" t="n">
        <v>0</v>
      </c>
      <c r="E641" s="2" t="n">
        <v>7</v>
      </c>
      <c r="F641" s="2"/>
      <c r="G641" s="2" t="n">
        <v>0</v>
      </c>
      <c r="H641" s="2" t="n">
        <v>732</v>
      </c>
      <c r="I641" s="2" t="s">
        <v>26</v>
      </c>
      <c r="J641" s="2" t="n">
        <v>305</v>
      </c>
      <c r="K641" s="2" t="n">
        <v>0</v>
      </c>
      <c r="L641" s="2" t="n">
        <v>15.3</v>
      </c>
      <c r="M641" s="2" t="s">
        <v>131</v>
      </c>
      <c r="N641" s="3" t="n">
        <v>10</v>
      </c>
      <c r="O641" s="3" t="n">
        <v>-7.306</v>
      </c>
      <c r="P641" s="3" t="n">
        <v>155.741</v>
      </c>
      <c r="Q641" s="3" t="s">
        <v>740</v>
      </c>
      <c r="R641" s="2"/>
      <c r="S641" s="2" t="s">
        <v>144</v>
      </c>
      <c r="T641" s="4" t="n">
        <f aca="false">DATE(VALUE(MID(C641,7,4)),VALUE(MID(C641,4,2)),VALUE(MID(C641,1,2)))+TIME(VALUE(MID(C641,12,2)),VALUE(MID(C641,15,2)),0)</f>
        <v>39173.8826388889</v>
      </c>
      <c r="U641" s="2" t="str">
        <f aca="false">IF(AND(ISNUMBER(VALUE(MID(A641,7,1))),ISNUMBER(SEARCH("km",A641)),ISNUMBER(SEARCH("of",A641))),"Distance-location","Named-region")</f>
        <v>Named-region</v>
      </c>
      <c r="V641" s="2" t="str">
        <f aca="false">LOWER(M641)</f>
        <v>mwc</v>
      </c>
      <c r="W641" s="5" t="str">
        <f aca="false">IF(COUNTIFS($A$2:$A$1001,A641,$C$2:$C$1001,C641)&gt;1,"Duplicate","Unique")</f>
        <v>Unique</v>
      </c>
    </row>
    <row r="642" customFormat="false" ht="15" hidden="false" customHeight="false" outlineLevel="0" collapsed="false">
      <c r="A642" s="2" t="s">
        <v>1703</v>
      </c>
      <c r="B642" s="3" t="n">
        <v>6.6</v>
      </c>
      <c r="C642" s="2" t="s">
        <v>1704</v>
      </c>
      <c r="D642" s="2" t="n">
        <v>0</v>
      </c>
      <c r="E642" s="2" t="n">
        <v>7</v>
      </c>
      <c r="F642" s="2"/>
      <c r="G642" s="2" t="n">
        <v>0</v>
      </c>
      <c r="H642" s="2" t="n">
        <v>670</v>
      </c>
      <c r="I642" s="2" t="s">
        <v>26</v>
      </c>
      <c r="J642" s="2" t="n">
        <v>251</v>
      </c>
      <c r="K642" s="2" t="n">
        <v>0</v>
      </c>
      <c r="L642" s="2" t="n">
        <v>16</v>
      </c>
      <c r="M642" s="2" t="s">
        <v>1378</v>
      </c>
      <c r="N642" s="3" t="n">
        <v>10</v>
      </c>
      <c r="O642" s="3" t="n">
        <v>-7.169</v>
      </c>
      <c r="P642" s="3" t="n">
        <v>155.777</v>
      </c>
      <c r="Q642" s="3" t="s">
        <v>740</v>
      </c>
      <c r="R642" s="2"/>
      <c r="S642" s="2" t="s">
        <v>144</v>
      </c>
      <c r="T642" s="4" t="n">
        <f aca="false">DATE(VALUE(MID(C642,7,4)),VALUE(MID(C642,4,2)),VALUE(MID(C642,1,2)))+TIME(VALUE(MID(C642,12,2)),VALUE(MID(C642,15,2)),0)</f>
        <v>39173.8659722222</v>
      </c>
      <c r="U642" s="2" t="str">
        <f aca="false">IF(AND(ISNUMBER(VALUE(MID(A642,7,1))),ISNUMBER(SEARCH("km",A642)),ISNUMBER(SEARCH("of",A642))),"Distance-location","Named-region")</f>
        <v>Named-region</v>
      </c>
      <c r="V642" s="2" t="str">
        <f aca="false">LOWER(M642)</f>
        <v>mb</v>
      </c>
      <c r="W642" s="5" t="str">
        <f aca="false">IF(COUNTIFS($A$2:$A$1001,A642,$C$2:$C$1001,C642)&gt;1,"Duplicate","Unique")</f>
        <v>Unique</v>
      </c>
    </row>
    <row r="643" customFormat="false" ht="15" hidden="false" customHeight="false" outlineLevel="0" collapsed="false">
      <c r="A643" s="2" t="s">
        <v>1705</v>
      </c>
      <c r="B643" s="3" t="n">
        <v>8.1</v>
      </c>
      <c r="C643" s="2" t="s">
        <v>1706</v>
      </c>
      <c r="D643" s="2" t="n">
        <v>9</v>
      </c>
      <c r="E643" s="2" t="n">
        <v>8</v>
      </c>
      <c r="F643" s="2"/>
      <c r="G643" s="2" t="n">
        <v>0</v>
      </c>
      <c r="H643" s="2" t="n">
        <v>1025</v>
      </c>
      <c r="I643" s="2" t="s">
        <v>26</v>
      </c>
      <c r="J643" s="2" t="n">
        <v>439</v>
      </c>
      <c r="K643" s="2" t="n">
        <v>0</v>
      </c>
      <c r="L643" s="2" t="n">
        <v>14.7</v>
      </c>
      <c r="M643" s="2" t="s">
        <v>131</v>
      </c>
      <c r="N643" s="3" t="n">
        <v>24</v>
      </c>
      <c r="O643" s="3" t="n">
        <v>-8.466</v>
      </c>
      <c r="P643" s="3" t="n">
        <v>157.043</v>
      </c>
      <c r="Q643" s="3" t="s">
        <v>925</v>
      </c>
      <c r="R643" s="2"/>
      <c r="S643" s="2" t="s">
        <v>144</v>
      </c>
      <c r="T643" s="4" t="n">
        <f aca="false">DATE(VALUE(MID(C643,7,4)),VALUE(MID(C643,4,2)),VALUE(MID(C643,1,2)))+TIME(VALUE(MID(C643,12,2)),VALUE(MID(C643,15,2)),0)</f>
        <v>39173.8604166667</v>
      </c>
      <c r="U643" s="2" t="str">
        <f aca="false">IF(AND(ISNUMBER(VALUE(MID(A643,7,1))),ISNUMBER(SEARCH("km",A643)),ISNUMBER(SEARCH("of",A643))),"Distance-location","Named-region")</f>
        <v>Named-region</v>
      </c>
      <c r="V643" s="2" t="str">
        <f aca="false">LOWER(M643)</f>
        <v>mwc</v>
      </c>
      <c r="W643" s="5" t="str">
        <f aca="false">IF(COUNTIFS($A$2:$A$1001,A643,$C$2:$C$1001,C643)&gt;1,"Duplicate","Unique")</f>
        <v>Unique</v>
      </c>
    </row>
    <row r="644" customFormat="false" ht="15" hidden="false" customHeight="false" outlineLevel="0" collapsed="false">
      <c r="A644" s="2" t="s">
        <v>1707</v>
      </c>
      <c r="B644" s="3" t="n">
        <v>6.7</v>
      </c>
      <c r="C644" s="2" t="s">
        <v>1708</v>
      </c>
      <c r="D644" s="2" t="n">
        <v>7</v>
      </c>
      <c r="E644" s="2" t="n">
        <v>8</v>
      </c>
      <c r="F644" s="2"/>
      <c r="G644" s="2" t="n">
        <v>0</v>
      </c>
      <c r="H644" s="2" t="n">
        <v>782</v>
      </c>
      <c r="I644" s="2" t="s">
        <v>26</v>
      </c>
      <c r="J644" s="2" t="n">
        <v>493</v>
      </c>
      <c r="K644" s="2" t="n">
        <v>0</v>
      </c>
      <c r="L644" s="2" t="n">
        <v>23.9</v>
      </c>
      <c r="M644" s="2" t="s">
        <v>131</v>
      </c>
      <c r="N644" s="3" t="n">
        <v>8</v>
      </c>
      <c r="O644" s="3" t="n">
        <v>37.336</v>
      </c>
      <c r="P644" s="3" t="n">
        <v>136.588</v>
      </c>
      <c r="Q644" s="3" t="s">
        <v>1709</v>
      </c>
      <c r="R644" s="2" t="s">
        <v>84</v>
      </c>
      <c r="S644" s="2" t="s">
        <v>326</v>
      </c>
      <c r="T644" s="4" t="n">
        <f aca="false">DATE(VALUE(MID(C644,7,4)),VALUE(MID(C644,4,2)),VALUE(MID(C644,1,2)))+TIME(VALUE(MID(C644,12,2)),VALUE(MID(C644,15,2)),0)</f>
        <v>39166.0284722222</v>
      </c>
      <c r="U644" s="2" t="str">
        <f aca="false">IF(AND(ISNUMBER(VALUE(MID(A644,7,1))),ISNUMBER(SEARCH("km",A644)),ISNUMBER(SEARCH("of",A644))),"Distance-location","Named-region")</f>
        <v>Named-region</v>
      </c>
      <c r="V644" s="2" t="str">
        <f aca="false">LOWER(M644)</f>
        <v>mwc</v>
      </c>
      <c r="W644" s="5" t="str">
        <f aca="false">IF(COUNTIFS($A$2:$A$1001,A644,$C$2:$C$1001,C644)&gt;1,"Duplicate","Unique")</f>
        <v>Unique</v>
      </c>
    </row>
    <row r="645" customFormat="false" ht="15" hidden="false" customHeight="false" outlineLevel="0" collapsed="false">
      <c r="A645" s="2" t="s">
        <v>1710</v>
      </c>
      <c r="B645" s="3" t="n">
        <v>7.1</v>
      </c>
      <c r="C645" s="2" t="s">
        <v>1711</v>
      </c>
      <c r="D645" s="2" t="n">
        <v>3</v>
      </c>
      <c r="E645" s="2" t="n">
        <v>6</v>
      </c>
      <c r="F645" s="2"/>
      <c r="G645" s="2" t="n">
        <v>0</v>
      </c>
      <c r="H645" s="2" t="n">
        <v>779</v>
      </c>
      <c r="I645" s="2" t="s">
        <v>26</v>
      </c>
      <c r="J645" s="2" t="n">
        <v>426</v>
      </c>
      <c r="K645" s="2" t="n">
        <v>0</v>
      </c>
      <c r="L645" s="2" t="n">
        <v>25.3</v>
      </c>
      <c r="M645" s="2" t="s">
        <v>158</v>
      </c>
      <c r="N645" s="3" t="n">
        <v>34</v>
      </c>
      <c r="O645" s="3" t="n">
        <v>-20.617</v>
      </c>
      <c r="P645" s="3" t="n">
        <v>169.357</v>
      </c>
      <c r="Q645" s="3" t="s">
        <v>181</v>
      </c>
      <c r="R645" s="2"/>
      <c r="S645" s="2"/>
      <c r="T645" s="4" t="n">
        <f aca="false">DATE(VALUE(MID(C645,7,4)),VALUE(MID(C645,4,2)),VALUE(MID(C645,1,2)))+TIME(VALUE(MID(C645,12,2)),VALUE(MID(C645,15,2)),0)</f>
        <v>39166.0277777778</v>
      </c>
      <c r="U645" s="2" t="str">
        <f aca="false">IF(AND(ISNUMBER(VALUE(MID(A645,7,1))),ISNUMBER(SEARCH("km",A645)),ISNUMBER(SEARCH("of",A645))),"Distance-location","Named-region")</f>
        <v>Named-region</v>
      </c>
      <c r="V645" s="2" t="str">
        <f aca="false">LOWER(M645)</f>
        <v>mwb</v>
      </c>
      <c r="W645" s="5" t="str">
        <f aca="false">IF(COUNTIFS($A$2:$A$1001,A645,$C$2:$C$1001,C645)&gt;1,"Duplicate","Unique")</f>
        <v>Unique</v>
      </c>
    </row>
    <row r="646" customFormat="false" ht="15" hidden="false" customHeight="false" outlineLevel="0" collapsed="false">
      <c r="A646" s="2" t="s">
        <v>1712</v>
      </c>
      <c r="B646" s="3" t="n">
        <v>6.7</v>
      </c>
      <c r="C646" s="2" t="s">
        <v>1713</v>
      </c>
      <c r="D646" s="2" t="n">
        <v>0</v>
      </c>
      <c r="E646" s="2" t="n">
        <v>6</v>
      </c>
      <c r="F646" s="2"/>
      <c r="G646" s="2" t="n">
        <v>0</v>
      </c>
      <c r="H646" s="2" t="n">
        <v>691</v>
      </c>
      <c r="I646" s="2" t="s">
        <v>26</v>
      </c>
      <c r="J646" s="2" t="n">
        <v>253</v>
      </c>
      <c r="K646" s="2" t="n">
        <v>0</v>
      </c>
      <c r="L646" s="2" t="n">
        <v>40.3</v>
      </c>
      <c r="M646" s="2" t="s">
        <v>131</v>
      </c>
      <c r="N646" s="3" t="n">
        <v>12</v>
      </c>
      <c r="O646" s="3" t="n">
        <v>-1.034</v>
      </c>
      <c r="P646" s="3" t="n">
        <v>126.976</v>
      </c>
      <c r="Q646" s="3" t="s">
        <v>1714</v>
      </c>
      <c r="R646" s="2"/>
      <c r="S646" s="2" t="s">
        <v>72</v>
      </c>
      <c r="T646" s="4" t="n">
        <f aca="false">DATE(VALUE(MID(C646,7,4)),VALUE(MID(C646,4,2)),VALUE(MID(C646,1,2)))+TIME(VALUE(MID(C646,12,2)),VALUE(MID(C646,15,2)),0)</f>
        <v>39133.3361111111</v>
      </c>
      <c r="U646" s="2" t="str">
        <f aca="false">IF(AND(ISNUMBER(VALUE(MID(A646,7,1))),ISNUMBER(SEARCH("km",A646)),ISNUMBER(SEARCH("of",A646))),"Distance-location","Named-region")</f>
        <v>Named-region</v>
      </c>
      <c r="V646" s="2" t="str">
        <f aca="false">LOWER(M646)</f>
        <v>mwc</v>
      </c>
      <c r="W646" s="5" t="str">
        <f aca="false">IF(COUNTIFS($A$2:$A$1001,A646,$C$2:$C$1001,C646)&gt;1,"Duplicate","Unique")</f>
        <v>Unique</v>
      </c>
    </row>
    <row r="647" customFormat="false" ht="15" hidden="false" customHeight="false" outlineLevel="0" collapsed="false">
      <c r="A647" s="2" t="s">
        <v>1715</v>
      </c>
      <c r="B647" s="3" t="n">
        <v>7.5</v>
      </c>
      <c r="C647" s="2" t="s">
        <v>1716</v>
      </c>
      <c r="D647" s="2" t="n">
        <v>6</v>
      </c>
      <c r="E647" s="2" t="n">
        <v>5</v>
      </c>
      <c r="F647" s="2"/>
      <c r="G647" s="2" t="n">
        <v>0</v>
      </c>
      <c r="H647" s="2" t="n">
        <v>874</v>
      </c>
      <c r="I647" s="2" t="s">
        <v>26</v>
      </c>
      <c r="J647" s="2" t="n">
        <v>570</v>
      </c>
      <c r="K647" s="2" t="n">
        <v>0</v>
      </c>
      <c r="L647" s="2" t="n">
        <v>21.6</v>
      </c>
      <c r="M647" s="2" t="s">
        <v>131</v>
      </c>
      <c r="N647" s="3" t="n">
        <v>22</v>
      </c>
      <c r="O647" s="3" t="n">
        <v>1.065</v>
      </c>
      <c r="P647" s="3" t="n">
        <v>126.282</v>
      </c>
      <c r="Q647" s="3" t="s">
        <v>1006</v>
      </c>
      <c r="R647" s="2"/>
      <c r="S647" s="2" t="s">
        <v>72</v>
      </c>
      <c r="T647" s="4" t="n">
        <f aca="false">DATE(VALUE(MID(C647,7,4)),VALUE(MID(C647,4,2)),VALUE(MID(C647,1,2)))+TIME(VALUE(MID(C647,12,2)),VALUE(MID(C647,15,2)),0)</f>
        <v>39103.4770833333</v>
      </c>
      <c r="U647" s="2" t="str">
        <f aca="false">IF(AND(ISNUMBER(VALUE(MID(A647,7,1))),ISNUMBER(SEARCH("km",A647)),ISNUMBER(SEARCH("of",A647))),"Distance-location","Named-region")</f>
        <v>Named-region</v>
      </c>
      <c r="V647" s="2" t="str">
        <f aca="false">LOWER(M647)</f>
        <v>mwc</v>
      </c>
      <c r="W647" s="5" t="str">
        <f aca="false">IF(COUNTIFS($A$2:$A$1001,A647,$C$2:$C$1001,C647)&gt;1,"Duplicate","Unique")</f>
        <v>Unique</v>
      </c>
    </row>
    <row r="648" customFormat="false" ht="15" hidden="false" customHeight="false" outlineLevel="0" collapsed="false">
      <c r="A648" s="2" t="s">
        <v>1717</v>
      </c>
      <c r="B648" s="3" t="n">
        <v>8.1</v>
      </c>
      <c r="C648" s="2" t="s">
        <v>1718</v>
      </c>
      <c r="D648" s="2" t="n">
        <v>4</v>
      </c>
      <c r="E648" s="2" t="n">
        <v>5</v>
      </c>
      <c r="F648" s="2"/>
      <c r="G648" s="2" t="n">
        <v>0</v>
      </c>
      <c r="H648" s="2" t="n">
        <v>1034</v>
      </c>
      <c r="I648" s="2" t="s">
        <v>26</v>
      </c>
      <c r="J648" s="2" t="n">
        <v>606</v>
      </c>
      <c r="K648" s="2" t="n">
        <v>0</v>
      </c>
      <c r="L648" s="2" t="n">
        <v>14</v>
      </c>
      <c r="M648" s="2" t="s">
        <v>131</v>
      </c>
      <c r="N648" s="3" t="n">
        <v>10</v>
      </c>
      <c r="O648" s="3" t="n">
        <v>46.243</v>
      </c>
      <c r="P648" s="3" t="n">
        <v>154.524</v>
      </c>
      <c r="Q648" s="3" t="s">
        <v>1719</v>
      </c>
      <c r="R648" s="2"/>
      <c r="S648" s="2"/>
      <c r="T648" s="4" t="n">
        <f aca="false">DATE(VALUE(MID(C648,7,4)),VALUE(MID(C648,4,2)),VALUE(MID(C648,1,2)))+TIME(VALUE(MID(C648,12,2)),VALUE(MID(C648,15,2)),0)</f>
        <v>39095.1826388889</v>
      </c>
      <c r="U648" s="2" t="str">
        <f aca="false">IF(AND(ISNUMBER(VALUE(MID(A648,7,1))),ISNUMBER(SEARCH("km",A648)),ISNUMBER(SEARCH("of",A648))),"Distance-location","Named-region")</f>
        <v>Named-region</v>
      </c>
      <c r="V648" s="2" t="str">
        <f aca="false">LOWER(M648)</f>
        <v>mwc</v>
      </c>
      <c r="W648" s="5" t="str">
        <f aca="false">IF(COUNTIFS($A$2:$A$1001,A648,$C$2:$C$1001,C648)&gt;1,"Duplicate","Unique")</f>
        <v>Unique</v>
      </c>
    </row>
    <row r="649" customFormat="false" ht="15" hidden="false" customHeight="false" outlineLevel="0" collapsed="false">
      <c r="A649" s="2" t="s">
        <v>1720</v>
      </c>
      <c r="B649" s="3" t="n">
        <v>6.9</v>
      </c>
      <c r="C649" s="2" t="s">
        <v>1721</v>
      </c>
      <c r="D649" s="2" t="n">
        <v>6</v>
      </c>
      <c r="E649" s="2" t="n">
        <v>7</v>
      </c>
      <c r="F649" s="2"/>
      <c r="G649" s="2" t="n">
        <v>0</v>
      </c>
      <c r="H649" s="2" t="n">
        <v>798</v>
      </c>
      <c r="I649" s="2" t="s">
        <v>26</v>
      </c>
      <c r="J649" s="2" t="n">
        <v>466</v>
      </c>
      <c r="K649" s="2" t="n">
        <v>0</v>
      </c>
      <c r="L649" s="2" t="n">
        <v>31.6</v>
      </c>
      <c r="M649" s="2" t="s">
        <v>131</v>
      </c>
      <c r="N649" s="3" t="n">
        <v>10</v>
      </c>
      <c r="O649" s="3" t="n">
        <v>21.974</v>
      </c>
      <c r="P649" s="3" t="n">
        <v>120.493</v>
      </c>
      <c r="Q649" s="3" t="s">
        <v>1722</v>
      </c>
      <c r="R649" s="2" t="s">
        <v>84</v>
      </c>
      <c r="S649" s="2" t="s">
        <v>175</v>
      </c>
      <c r="T649" s="4" t="n">
        <f aca="false">DATE(VALUE(MID(C649,7,4)),VALUE(MID(C649,4,2)),VALUE(MID(C649,1,2)))+TIME(VALUE(MID(C649,12,2)),VALUE(MID(C649,15,2)),0)</f>
        <v>39077.5236111111</v>
      </c>
      <c r="U649" s="2" t="str">
        <f aca="false">IF(AND(ISNUMBER(VALUE(MID(A649,7,1))),ISNUMBER(SEARCH("km",A649)),ISNUMBER(SEARCH("of",A649))),"Distance-location","Named-region")</f>
        <v>Named-region</v>
      </c>
      <c r="V649" s="2" t="str">
        <f aca="false">LOWER(M649)</f>
        <v>mwc</v>
      </c>
      <c r="W649" s="5" t="str">
        <f aca="false">IF(COUNTIFS($A$2:$A$1001,A649,$C$2:$C$1001,C649)&gt;1,"Duplicate","Unique")</f>
        <v>Unique</v>
      </c>
    </row>
    <row r="650" customFormat="false" ht="15" hidden="false" customHeight="false" outlineLevel="0" collapsed="false">
      <c r="A650" s="2" t="s">
        <v>1723</v>
      </c>
      <c r="B650" s="3" t="n">
        <v>7.1</v>
      </c>
      <c r="C650" s="2" t="s">
        <v>1724</v>
      </c>
      <c r="D650" s="2" t="n">
        <v>8</v>
      </c>
      <c r="E650" s="2" t="n">
        <v>7</v>
      </c>
      <c r="F650" s="2"/>
      <c r="G650" s="2" t="n">
        <v>0</v>
      </c>
      <c r="H650" s="2" t="n">
        <v>1023</v>
      </c>
      <c r="I650" s="2" t="s">
        <v>26</v>
      </c>
      <c r="J650" s="2" t="n">
        <v>744</v>
      </c>
      <c r="K650" s="2" t="n">
        <v>0</v>
      </c>
      <c r="L650" s="2" t="n">
        <v>29.1</v>
      </c>
      <c r="M650" s="2" t="s">
        <v>158</v>
      </c>
      <c r="N650" s="3" t="n">
        <v>10</v>
      </c>
      <c r="O650" s="3" t="n">
        <v>21.799</v>
      </c>
      <c r="P650" s="3" t="n">
        <v>120.547</v>
      </c>
      <c r="Q650" s="3" t="s">
        <v>1722</v>
      </c>
      <c r="R650" s="2" t="s">
        <v>84</v>
      </c>
      <c r="S650" s="2" t="s">
        <v>175</v>
      </c>
      <c r="T650" s="4" t="n">
        <f aca="false">DATE(VALUE(MID(C650,7,4)),VALUE(MID(C650,4,2)),VALUE(MID(C650,1,2)))+TIME(VALUE(MID(C650,12,2)),VALUE(MID(C650,15,2)),0)</f>
        <v>39077.5180555556</v>
      </c>
      <c r="U650" s="2" t="str">
        <f aca="false">IF(AND(ISNUMBER(VALUE(MID(A650,7,1))),ISNUMBER(SEARCH("km",A650)),ISNUMBER(SEARCH("of",A650))),"Distance-location","Named-region")</f>
        <v>Named-region</v>
      </c>
      <c r="V650" s="2" t="str">
        <f aca="false">LOWER(M650)</f>
        <v>mwb</v>
      </c>
      <c r="W650" s="5" t="str">
        <f aca="false">IF(COUNTIFS($A$2:$A$1001,A650,$C$2:$C$1001,C650)&gt;1,"Duplicate","Unique")</f>
        <v>Unique</v>
      </c>
    </row>
    <row r="651" customFormat="false" ht="15" hidden="false" customHeight="false" outlineLevel="0" collapsed="false">
      <c r="A651" s="2" t="s">
        <v>1725</v>
      </c>
      <c r="B651" s="3" t="n">
        <v>8.3</v>
      </c>
      <c r="C651" s="2" t="s">
        <v>1726</v>
      </c>
      <c r="D651" s="2" t="n">
        <v>4</v>
      </c>
      <c r="E651" s="2" t="n">
        <v>7</v>
      </c>
      <c r="F651" s="2"/>
      <c r="G651" s="2" t="n">
        <v>0</v>
      </c>
      <c r="H651" s="2" t="n">
        <v>1064</v>
      </c>
      <c r="I651" s="2" t="s">
        <v>26</v>
      </c>
      <c r="J651" s="2" t="n">
        <v>576</v>
      </c>
      <c r="K651" s="2" t="n">
        <v>0</v>
      </c>
      <c r="L651" s="2" t="n">
        <v>20.9</v>
      </c>
      <c r="M651" s="2" t="s">
        <v>131</v>
      </c>
      <c r="N651" s="3" t="n">
        <v>10</v>
      </c>
      <c r="O651" s="3" t="n">
        <v>46.592</v>
      </c>
      <c r="P651" s="3" t="n">
        <v>153.266</v>
      </c>
      <c r="Q651" s="3" t="s">
        <v>1727</v>
      </c>
      <c r="R651" s="2"/>
      <c r="S651" s="2"/>
      <c r="T651" s="4" t="n">
        <f aca="false">DATE(VALUE(MID(C651,7,4)),VALUE(MID(C651,4,2)),VALUE(MID(C651,1,2)))+TIME(VALUE(MID(C651,12,2)),VALUE(MID(C651,15,2)),0)</f>
        <v>39036.4680555556</v>
      </c>
      <c r="U651" s="2" t="str">
        <f aca="false">IF(AND(ISNUMBER(VALUE(MID(A651,7,1))),ISNUMBER(SEARCH("km",A651)),ISNUMBER(SEARCH("of",A651))),"Distance-location","Named-region")</f>
        <v>Named-region</v>
      </c>
      <c r="V651" s="2" t="str">
        <f aca="false">LOWER(M651)</f>
        <v>mwc</v>
      </c>
      <c r="W651" s="5" t="str">
        <f aca="false">IF(COUNTIFS($A$2:$A$1001,A651,$C$2:$C$1001,C651)&gt;1,"Duplicate","Unique")</f>
        <v>Unique</v>
      </c>
    </row>
    <row r="652" customFormat="false" ht="15" hidden="false" customHeight="false" outlineLevel="0" collapsed="false">
      <c r="A652" s="2" t="s">
        <v>1728</v>
      </c>
      <c r="B652" s="3" t="n">
        <v>6.6</v>
      </c>
      <c r="C652" s="2" t="s">
        <v>1729</v>
      </c>
      <c r="D652" s="2" t="n">
        <v>0</v>
      </c>
      <c r="E652" s="2" t="n">
        <v>6</v>
      </c>
      <c r="F652" s="2"/>
      <c r="G652" s="2" t="n">
        <v>0</v>
      </c>
      <c r="H652" s="2" t="n">
        <v>670</v>
      </c>
      <c r="I652" s="2" t="s">
        <v>26</v>
      </c>
      <c r="J652" s="2" t="n">
        <v>352</v>
      </c>
      <c r="K652" s="2" t="n">
        <v>0</v>
      </c>
      <c r="L652" s="2" t="n">
        <v>18.6</v>
      </c>
      <c r="M652" s="2" t="s">
        <v>131</v>
      </c>
      <c r="N652" s="3" t="n">
        <v>11</v>
      </c>
      <c r="O652" s="3" t="n">
        <v>-6.482</v>
      </c>
      <c r="P652" s="3" t="n">
        <v>151.195</v>
      </c>
      <c r="Q652" s="3" t="s">
        <v>111</v>
      </c>
      <c r="R652" s="2"/>
      <c r="S652" s="2"/>
      <c r="T652" s="4" t="n">
        <f aca="false">DATE(VALUE(MID(C652,7,4)),VALUE(MID(C652,4,2)),VALUE(MID(C652,1,2)))+TIME(VALUE(MID(C652,12,2)),VALUE(MID(C652,15,2)),0)</f>
        <v>39028.7347222222</v>
      </c>
      <c r="U652" s="2" t="str">
        <f aca="false">IF(AND(ISNUMBER(VALUE(MID(A652,7,1))),ISNUMBER(SEARCH("km",A652)),ISNUMBER(SEARCH("of",A652))),"Distance-location","Named-region")</f>
        <v>Named-region</v>
      </c>
      <c r="V652" s="2" t="str">
        <f aca="false">LOWER(M652)</f>
        <v>mwc</v>
      </c>
      <c r="W652" s="5" t="str">
        <f aca="false">IF(COUNTIFS($A$2:$A$1001,A652,$C$2:$C$1001,C652)&gt;1,"Duplicate","Unique")</f>
        <v>Unique</v>
      </c>
    </row>
    <row r="653" customFormat="false" ht="15" hidden="false" customHeight="false" outlineLevel="0" collapsed="false">
      <c r="A653" s="2" t="s">
        <v>1730</v>
      </c>
      <c r="B653" s="3" t="n">
        <v>6.7</v>
      </c>
      <c r="C653" s="2" t="s">
        <v>1731</v>
      </c>
      <c r="D653" s="2" t="n">
        <v>5</v>
      </c>
      <c r="E653" s="2" t="n">
        <v>6</v>
      </c>
      <c r="F653" s="2"/>
      <c r="G653" s="2" t="n">
        <v>0</v>
      </c>
      <c r="H653" s="2" t="n">
        <v>732</v>
      </c>
      <c r="I653" s="2" t="s">
        <v>26</v>
      </c>
      <c r="J653" s="2" t="n">
        <v>444</v>
      </c>
      <c r="K653" s="2" t="n">
        <v>0</v>
      </c>
      <c r="L653" s="2" t="n">
        <v>53.4</v>
      </c>
      <c r="M653" s="2" t="s">
        <v>131</v>
      </c>
      <c r="N653" s="3" t="n">
        <v>23</v>
      </c>
      <c r="O653" s="3" t="n">
        <v>-13.457</v>
      </c>
      <c r="P653" s="3" t="n">
        <v>-76.677</v>
      </c>
      <c r="Q653" s="3" t="s">
        <v>1683</v>
      </c>
      <c r="R653" s="2"/>
      <c r="S653" s="2" t="s">
        <v>203</v>
      </c>
      <c r="T653" s="4" t="n">
        <f aca="false">DATE(VALUE(MID(C653,7,4)),VALUE(MID(C653,4,2)),VALUE(MID(C653,1,2)))+TIME(VALUE(MID(C653,12,2)),VALUE(MID(C653,15,2)),0)</f>
        <v>39010.45</v>
      </c>
      <c r="U653" s="2" t="str">
        <f aca="false">IF(AND(ISNUMBER(VALUE(MID(A653,7,1))),ISNUMBER(SEARCH("km",A653)),ISNUMBER(SEARCH("of",A653))),"Distance-location","Named-region")</f>
        <v>Named-region</v>
      </c>
      <c r="V653" s="2" t="str">
        <f aca="false">LOWER(M653)</f>
        <v>mwc</v>
      </c>
      <c r="W653" s="5" t="str">
        <f aca="false">IF(COUNTIFS($A$2:$A$1001,A653,$C$2:$C$1001,C653)&gt;1,"Duplicate","Unique")</f>
        <v>Unique</v>
      </c>
    </row>
    <row r="654" customFormat="false" ht="15" hidden="false" customHeight="false" outlineLevel="0" collapsed="false">
      <c r="A654" s="2" t="s">
        <v>1732</v>
      </c>
      <c r="B654" s="3" t="n">
        <v>6.7</v>
      </c>
      <c r="C654" s="2" t="s">
        <v>1733</v>
      </c>
      <c r="D654" s="2" t="n">
        <v>5</v>
      </c>
      <c r="E654" s="2" t="n">
        <v>6</v>
      </c>
      <c r="F654" s="2"/>
      <c r="G654" s="2" t="n">
        <v>0</v>
      </c>
      <c r="H654" s="2" t="n">
        <v>692</v>
      </c>
      <c r="I654" s="2" t="s">
        <v>26</v>
      </c>
      <c r="J654" s="2" t="n">
        <v>533</v>
      </c>
      <c r="K654" s="2" t="n">
        <v>0</v>
      </c>
      <c r="L654" s="2" t="n">
        <v>15.6</v>
      </c>
      <c r="M654" s="2" t="s">
        <v>131</v>
      </c>
      <c r="N654" s="3" t="n">
        <v>32</v>
      </c>
      <c r="O654" s="3" t="n">
        <v>-5.881</v>
      </c>
      <c r="P654" s="3" t="n">
        <v>150.982</v>
      </c>
      <c r="Q654" s="3" t="s">
        <v>111</v>
      </c>
      <c r="R654" s="2"/>
      <c r="S654" s="2" t="s">
        <v>89</v>
      </c>
      <c r="T654" s="4" t="n">
        <f aca="false">DATE(VALUE(MID(C654,7,4)),VALUE(MID(C654,4,2)),VALUE(MID(C654,1,2)))+TIME(VALUE(MID(C654,12,2)),VALUE(MID(C654,15,2)),0)</f>
        <v>39007.0590277778</v>
      </c>
      <c r="U654" s="2" t="str">
        <f aca="false">IF(AND(ISNUMBER(VALUE(MID(A654,7,1))),ISNUMBER(SEARCH("km",A654)),ISNUMBER(SEARCH("of",A654))),"Distance-location","Named-region")</f>
        <v>Named-region</v>
      </c>
      <c r="V654" s="2" t="str">
        <f aca="false">LOWER(M654)</f>
        <v>mwc</v>
      </c>
      <c r="W654" s="5" t="str">
        <f aca="false">IF(COUNTIFS($A$2:$A$1001,A654,$C$2:$C$1001,C654)&gt;1,"Duplicate","Unique")</f>
        <v>Unique</v>
      </c>
    </row>
    <row r="655" customFormat="false" ht="15" hidden="false" customHeight="false" outlineLevel="0" collapsed="false">
      <c r="A655" s="2" t="s">
        <v>1734</v>
      </c>
      <c r="B655" s="3" t="n">
        <v>6.7</v>
      </c>
      <c r="C655" s="2" t="s">
        <v>1735</v>
      </c>
      <c r="D655" s="2" t="n">
        <v>8</v>
      </c>
      <c r="E655" s="2" t="n">
        <v>9</v>
      </c>
      <c r="F655" s="2"/>
      <c r="G655" s="2" t="n">
        <v>0</v>
      </c>
      <c r="H655" s="2" t="n">
        <v>1481</v>
      </c>
      <c r="I655" s="2" t="s">
        <v>617</v>
      </c>
      <c r="J655" s="2" t="n">
        <v>43</v>
      </c>
      <c r="K655" s="2" t="n">
        <v>0</v>
      </c>
      <c r="L655" s="2" t="n">
        <v>124</v>
      </c>
      <c r="M655" s="2" t="s">
        <v>1736</v>
      </c>
      <c r="N655" s="3" t="n">
        <v>38.182</v>
      </c>
      <c r="O655" s="3" t="n">
        <v>19.877</v>
      </c>
      <c r="P655" s="3" t="n">
        <v>-155.935</v>
      </c>
      <c r="Q655" s="3" t="s">
        <v>1737</v>
      </c>
      <c r="R655" s="2"/>
      <c r="S655" s="2" t="s">
        <v>265</v>
      </c>
      <c r="T655" s="4" t="n">
        <f aca="false">DATE(VALUE(MID(C655,7,4)),VALUE(MID(C655,4,2)),VALUE(MID(C655,1,2)))+TIME(VALUE(MID(C655,12,2)),VALUE(MID(C655,15,2)),0)</f>
        <v>39005.7131944444</v>
      </c>
      <c r="U655" s="2" t="str">
        <f aca="false">IF(AND(ISNUMBER(VALUE(MID(A655,7,1))),ISNUMBER(SEARCH("km",A655)),ISNUMBER(SEARCH("of",A655))),"Distance-location","Named-region")</f>
        <v>Named-region</v>
      </c>
      <c r="V655" s="2" t="str">
        <f aca="false">LOWER(M655)</f>
        <v>md</v>
      </c>
      <c r="W655" s="5" t="str">
        <f aca="false">IF(COUNTIFS($A$2:$A$1001,A655,$C$2:$C$1001,C655)&gt;1,"Duplicate","Unique")</f>
        <v>Unique</v>
      </c>
    </row>
    <row r="656" customFormat="false" ht="15" hidden="false" customHeight="false" outlineLevel="0" collapsed="false">
      <c r="A656" s="2" t="s">
        <v>1738</v>
      </c>
      <c r="B656" s="3" t="n">
        <v>6.9</v>
      </c>
      <c r="C656" s="2" t="s">
        <v>1739</v>
      </c>
      <c r="D656" s="2" t="n">
        <v>3</v>
      </c>
      <c r="E656" s="2" t="n">
        <v>3</v>
      </c>
      <c r="F656" s="2"/>
      <c r="G656" s="2" t="n">
        <v>0</v>
      </c>
      <c r="H656" s="2" t="n">
        <v>737</v>
      </c>
      <c r="I656" s="2" t="s">
        <v>26</v>
      </c>
      <c r="J656" s="2" t="n">
        <v>702</v>
      </c>
      <c r="K656" s="2" t="n">
        <v>0</v>
      </c>
      <c r="L656" s="2" t="n">
        <v>20.9</v>
      </c>
      <c r="M656" s="2" t="s">
        <v>131</v>
      </c>
      <c r="N656" s="3" t="n">
        <v>28</v>
      </c>
      <c r="O656" s="3" t="n">
        <v>-16.592</v>
      </c>
      <c r="P656" s="3" t="n">
        <v>-172.033</v>
      </c>
      <c r="Q656" s="3" t="s">
        <v>66</v>
      </c>
      <c r="R656" s="2"/>
      <c r="S656" s="2"/>
      <c r="T656" s="4" t="n">
        <f aca="false">DATE(VALUE(MID(C656,7,4)),VALUE(MID(C656,4,2)),VALUE(MID(C656,1,2)))+TIME(VALUE(MID(C656,12,2)),VALUE(MID(C656,15,2)),0)</f>
        <v>38988.2652777778</v>
      </c>
      <c r="U656" s="2" t="str">
        <f aca="false">IF(AND(ISNUMBER(VALUE(MID(A656,7,1))),ISNUMBER(SEARCH("km",A656)),ISNUMBER(SEARCH("of",A656))),"Distance-location","Named-region")</f>
        <v>Named-region</v>
      </c>
      <c r="V656" s="2" t="str">
        <f aca="false">LOWER(M656)</f>
        <v>mwc</v>
      </c>
      <c r="W656" s="5" t="str">
        <f aca="false">IF(COUNTIFS($A$2:$A$1001,A656,$C$2:$C$1001,C656)&gt;1,"Duplicate","Unique")</f>
        <v>Unique</v>
      </c>
    </row>
    <row r="657" customFormat="false" ht="15" hidden="false" customHeight="false" outlineLevel="0" collapsed="false">
      <c r="A657" s="2" t="s">
        <v>1740</v>
      </c>
      <c r="B657" s="3" t="n">
        <v>6.8</v>
      </c>
      <c r="C657" s="2" t="s">
        <v>1741</v>
      </c>
      <c r="D657" s="2" t="n">
        <v>0</v>
      </c>
      <c r="E657" s="2" t="n">
        <v>6</v>
      </c>
      <c r="F657" s="2"/>
      <c r="G657" s="2" t="n">
        <v>0</v>
      </c>
      <c r="H657" s="2" t="n">
        <v>711</v>
      </c>
      <c r="I657" s="2" t="s">
        <v>26</v>
      </c>
      <c r="J657" s="2" t="n">
        <v>459</v>
      </c>
      <c r="K657" s="2" t="n">
        <v>0</v>
      </c>
      <c r="L657" s="2" t="n">
        <v>28.4</v>
      </c>
      <c r="M657" s="2" t="s">
        <v>158</v>
      </c>
      <c r="N657" s="3" t="n">
        <v>38</v>
      </c>
      <c r="O657" s="3" t="n">
        <v>-6.759</v>
      </c>
      <c r="P657" s="3" t="n">
        <v>155.512</v>
      </c>
      <c r="Q657" s="3" t="s">
        <v>740</v>
      </c>
      <c r="R657" s="2"/>
      <c r="S657" s="2" t="s">
        <v>89</v>
      </c>
      <c r="T657" s="4" t="n">
        <f aca="false">DATE(VALUE(MID(C657,7,4)),VALUE(MID(C657,4,2)),VALUE(MID(C657,1,2)))+TIME(VALUE(MID(C657,12,2)),VALUE(MID(C657,15,2)),0)</f>
        <v>38961.4291666667</v>
      </c>
      <c r="U657" s="2" t="str">
        <f aca="false">IF(AND(ISNUMBER(VALUE(MID(A657,7,1))),ISNUMBER(SEARCH("km",A657)),ISNUMBER(SEARCH("of",A657))),"Distance-location","Named-region")</f>
        <v>Named-region</v>
      </c>
      <c r="V657" s="2" t="str">
        <f aca="false">LOWER(M657)</f>
        <v>mwb</v>
      </c>
      <c r="W657" s="5" t="str">
        <f aca="false">IF(COUNTIFS($A$2:$A$1001,A657,$C$2:$C$1001,C657)&gt;1,"Duplicate","Unique")</f>
        <v>Unique</v>
      </c>
    </row>
    <row r="658" customFormat="false" ht="15" hidden="false" customHeight="false" outlineLevel="0" collapsed="false">
      <c r="A658" s="2" t="s">
        <v>1742</v>
      </c>
      <c r="B658" s="3" t="n">
        <v>6.5</v>
      </c>
      <c r="C658" s="2" t="s">
        <v>1743</v>
      </c>
      <c r="D658" s="2" t="n">
        <v>0</v>
      </c>
      <c r="E658" s="2" t="n">
        <v>6</v>
      </c>
      <c r="F658" s="2"/>
      <c r="G658" s="2" t="n">
        <v>0</v>
      </c>
      <c r="H658" s="2" t="n">
        <v>650</v>
      </c>
      <c r="I658" s="2" t="s">
        <v>26</v>
      </c>
      <c r="J658" s="2" t="n">
        <v>700</v>
      </c>
      <c r="K658" s="2" t="n">
        <v>0</v>
      </c>
      <c r="L658" s="2" t="n">
        <v>47.4</v>
      </c>
      <c r="M658" s="2" t="s">
        <v>158</v>
      </c>
      <c r="N658" s="3" t="n">
        <v>43</v>
      </c>
      <c r="O658" s="3" t="n">
        <v>51.148</v>
      </c>
      <c r="P658" s="3" t="n">
        <v>157.522</v>
      </c>
      <c r="Q658" s="3" t="s">
        <v>569</v>
      </c>
      <c r="R658" s="2" t="s">
        <v>84</v>
      </c>
      <c r="S658" s="2" t="s">
        <v>432</v>
      </c>
      <c r="T658" s="4" t="n">
        <f aca="false">DATE(VALUE(MID(C658,7,4)),VALUE(MID(C658,4,2)),VALUE(MID(C658,1,2)))+TIME(VALUE(MID(C658,12,2)),VALUE(MID(C658,15,2)),0)</f>
        <v>38953.9097222222</v>
      </c>
      <c r="U658" s="2" t="str">
        <f aca="false">IF(AND(ISNUMBER(VALUE(MID(A658,7,1))),ISNUMBER(SEARCH("km",A658)),ISNUMBER(SEARCH("of",A658))),"Distance-location","Named-region")</f>
        <v>Named-region</v>
      </c>
      <c r="V658" s="2" t="str">
        <f aca="false">LOWER(M658)</f>
        <v>mwb</v>
      </c>
      <c r="W658" s="5" t="str">
        <f aca="false">IF(COUNTIFS($A$2:$A$1001,A658,$C$2:$C$1001,C658)&gt;1,"Duplicate","Unique")</f>
        <v>Unique</v>
      </c>
    </row>
    <row r="659" customFormat="false" ht="15" hidden="false" customHeight="false" outlineLevel="0" collapsed="false">
      <c r="A659" s="2" t="s">
        <v>1744</v>
      </c>
      <c r="B659" s="3" t="n">
        <v>6.8</v>
      </c>
      <c r="C659" s="2" t="s">
        <v>1745</v>
      </c>
      <c r="D659" s="2" t="n">
        <v>5</v>
      </c>
      <c r="E659" s="2" t="n">
        <v>5</v>
      </c>
      <c r="F659" s="2"/>
      <c r="G659" s="2" t="n">
        <v>0</v>
      </c>
      <c r="H659" s="2" t="n">
        <v>713</v>
      </c>
      <c r="I659" s="2" t="s">
        <v>26</v>
      </c>
      <c r="J659" s="2" t="n">
        <v>551</v>
      </c>
      <c r="K659" s="2" t="n">
        <v>0</v>
      </c>
      <c r="L659" s="2" t="n">
        <v>26.2</v>
      </c>
      <c r="M659" s="2" t="s">
        <v>158</v>
      </c>
      <c r="N659" s="3" t="n">
        <v>150</v>
      </c>
      <c r="O659" s="3" t="n">
        <v>-15.798</v>
      </c>
      <c r="P659" s="3" t="n">
        <v>167.789</v>
      </c>
      <c r="Q659" s="3" t="s">
        <v>825</v>
      </c>
      <c r="R659" s="2"/>
      <c r="S659" s="2" t="s">
        <v>29</v>
      </c>
      <c r="T659" s="4" t="n">
        <f aca="false">DATE(VALUE(MID(C659,7,4)),VALUE(MID(C659,4,2)),VALUE(MID(C659,1,2)))+TIME(VALUE(MID(C659,12,2)),VALUE(MID(C659,15,2)),0)</f>
        <v>38936.9291666667</v>
      </c>
      <c r="U659" s="2" t="str">
        <f aca="false">IF(AND(ISNUMBER(VALUE(MID(A659,7,1))),ISNUMBER(SEARCH("km",A659)),ISNUMBER(SEARCH("of",A659))),"Distance-location","Named-region")</f>
        <v>Named-region</v>
      </c>
      <c r="V659" s="2" t="str">
        <f aca="false">LOWER(M659)</f>
        <v>mwb</v>
      </c>
      <c r="W659" s="5" t="str">
        <f aca="false">IF(COUNTIFS($A$2:$A$1001,A659,$C$2:$C$1001,C659)&gt;1,"Duplicate","Unique")</f>
        <v>Unique</v>
      </c>
    </row>
    <row r="660" customFormat="false" ht="15" hidden="false" customHeight="false" outlineLevel="0" collapsed="false">
      <c r="A660" s="2" t="s">
        <v>1746</v>
      </c>
      <c r="B660" s="3" t="n">
        <v>7.7</v>
      </c>
      <c r="C660" s="2" t="s">
        <v>1747</v>
      </c>
      <c r="D660" s="2" t="n">
        <v>7</v>
      </c>
      <c r="E660" s="2" t="n">
        <v>5</v>
      </c>
      <c r="F660" s="2"/>
      <c r="G660" s="2" t="n">
        <v>0</v>
      </c>
      <c r="H660" s="2" t="n">
        <v>947</v>
      </c>
      <c r="I660" s="2" t="s">
        <v>26</v>
      </c>
      <c r="J660" s="2" t="n">
        <v>357</v>
      </c>
      <c r="K660" s="2" t="n">
        <v>0</v>
      </c>
      <c r="L660" s="2" t="n">
        <v>36.8</v>
      </c>
      <c r="M660" s="2" t="s">
        <v>131</v>
      </c>
      <c r="N660" s="3" t="n">
        <v>20</v>
      </c>
      <c r="O660" s="3" t="n">
        <v>-9.284</v>
      </c>
      <c r="P660" s="3" t="n">
        <v>107.419</v>
      </c>
      <c r="Q660" s="3" t="s">
        <v>1748</v>
      </c>
      <c r="R660" s="2"/>
      <c r="S660" s="2"/>
      <c r="T660" s="4" t="n">
        <f aca="false">DATE(VALUE(MID(C660,7,4)),VALUE(MID(C660,4,2)),VALUE(MID(C660,1,2)))+TIME(VALUE(MID(C660,12,2)),VALUE(MID(C660,15,2)),0)</f>
        <v>38915.3465277778</v>
      </c>
      <c r="U660" s="2" t="str">
        <f aca="false">IF(AND(ISNUMBER(VALUE(MID(A660,7,1))),ISNUMBER(SEARCH("km",A660)),ISNUMBER(SEARCH("of",A660))),"Distance-location","Named-region")</f>
        <v>Named-region</v>
      </c>
      <c r="V660" s="2" t="str">
        <f aca="false">LOWER(M660)</f>
        <v>mwc</v>
      </c>
      <c r="W660" s="5" t="str">
        <f aca="false">IF(COUNTIFS($A$2:$A$1001,A660,$C$2:$C$1001,C660)&gt;1,"Duplicate","Unique")</f>
        <v>Unique</v>
      </c>
    </row>
    <row r="661" customFormat="false" ht="15" hidden="false" customHeight="false" outlineLevel="0" collapsed="false">
      <c r="A661" s="2" t="s">
        <v>1749</v>
      </c>
      <c r="B661" s="3" t="n">
        <v>6.5</v>
      </c>
      <c r="C661" s="2" t="s">
        <v>1750</v>
      </c>
      <c r="D661" s="2" t="n">
        <v>0</v>
      </c>
      <c r="E661" s="2" t="n">
        <v>6</v>
      </c>
      <c r="F661" s="2"/>
      <c r="G661" s="2" t="n">
        <v>0</v>
      </c>
      <c r="H661" s="2" t="n">
        <v>650</v>
      </c>
      <c r="I661" s="2" t="s">
        <v>26</v>
      </c>
      <c r="J661" s="2" t="n">
        <v>477</v>
      </c>
      <c r="K661" s="2" t="n">
        <v>0</v>
      </c>
      <c r="L661" s="2" t="n">
        <v>20.3</v>
      </c>
      <c r="M661" s="2" t="s">
        <v>131</v>
      </c>
      <c r="N661" s="3" t="n">
        <v>34</v>
      </c>
      <c r="O661" s="3" t="n">
        <v>-5.724</v>
      </c>
      <c r="P661" s="3" t="n">
        <v>151.133</v>
      </c>
      <c r="Q661" s="3" t="s">
        <v>111</v>
      </c>
      <c r="R661" s="2"/>
      <c r="S661" s="2" t="s">
        <v>89</v>
      </c>
      <c r="T661" s="4" t="n">
        <f aca="false">DATE(VALUE(MID(C661,7,4)),VALUE(MID(C661,4,2)),VALUE(MID(C661,1,2)))+TIME(VALUE(MID(C661,12,2)),VALUE(MID(C661,15,2)),0)</f>
        <v>38865.1333333333</v>
      </c>
      <c r="U661" s="2" t="str">
        <f aca="false">IF(AND(ISNUMBER(VALUE(MID(A661,7,1))),ISNUMBER(SEARCH("km",A661)),ISNUMBER(SEARCH("of",A661))),"Distance-location","Named-region")</f>
        <v>Named-region</v>
      </c>
      <c r="V661" s="2" t="str">
        <f aca="false">LOWER(M661)</f>
        <v>mwc</v>
      </c>
      <c r="W661" s="5" t="str">
        <f aca="false">IF(COUNTIFS($A$2:$A$1001,A661,$C$2:$C$1001,C661)&gt;1,"Duplicate","Unique")</f>
        <v>Unique</v>
      </c>
    </row>
    <row r="662" customFormat="false" ht="15" hidden="false" customHeight="false" outlineLevel="0" collapsed="false">
      <c r="A662" s="2" t="s">
        <v>1751</v>
      </c>
      <c r="B662" s="3" t="n">
        <v>6.6</v>
      </c>
      <c r="C662" s="2" t="s">
        <v>1752</v>
      </c>
      <c r="D662" s="2" t="n">
        <v>0</v>
      </c>
      <c r="E662" s="2" t="n">
        <v>7</v>
      </c>
      <c r="F662" s="2"/>
      <c r="G662" s="2" t="n">
        <v>0</v>
      </c>
      <c r="H662" s="2" t="n">
        <v>670</v>
      </c>
      <c r="I662" s="2" t="s">
        <v>26</v>
      </c>
      <c r="J662" s="2" t="n">
        <v>548</v>
      </c>
      <c r="K662" s="2" t="n">
        <v>0</v>
      </c>
      <c r="L662" s="2" t="n">
        <v>28</v>
      </c>
      <c r="M662" s="2" t="s">
        <v>131</v>
      </c>
      <c r="N662" s="3" t="n">
        <v>19</v>
      </c>
      <c r="O662" s="3" t="n">
        <v>60.772</v>
      </c>
      <c r="P662" s="3" t="n">
        <v>165.743</v>
      </c>
      <c r="Q662" s="3" t="s">
        <v>1753</v>
      </c>
      <c r="R662" s="2" t="s">
        <v>84</v>
      </c>
      <c r="S662" s="2" t="s">
        <v>432</v>
      </c>
      <c r="T662" s="4" t="n">
        <f aca="false">DATE(VALUE(MID(C662,7,4)),VALUE(MID(C662,4,2)),VALUE(MID(C662,1,2)))+TIME(VALUE(MID(C662,12,2)),VALUE(MID(C662,15,2)),0)</f>
        <v>38859.4666666667</v>
      </c>
      <c r="U662" s="2" t="str">
        <f aca="false">IF(AND(ISNUMBER(VALUE(MID(A662,7,1))),ISNUMBER(SEARCH("km",A662)),ISNUMBER(SEARCH("of",A662))),"Distance-location","Named-region")</f>
        <v>Named-region</v>
      </c>
      <c r="V662" s="2" t="str">
        <f aca="false">LOWER(M662)</f>
        <v>mwc</v>
      </c>
      <c r="W662" s="5" t="str">
        <f aca="false">IF(COUNTIFS($A$2:$A$1001,A662,$C$2:$C$1001,C662)&gt;1,"Duplicate","Unique")</f>
        <v>Unique</v>
      </c>
    </row>
    <row r="663" customFormat="false" ht="15" hidden="false" customHeight="false" outlineLevel="0" collapsed="false">
      <c r="A663" s="2" t="s">
        <v>1754</v>
      </c>
      <c r="B663" s="3" t="n">
        <v>6.8</v>
      </c>
      <c r="C663" s="2" t="s">
        <v>1755</v>
      </c>
      <c r="D663" s="2" t="n">
        <v>4</v>
      </c>
      <c r="E663" s="2" t="n">
        <v>5</v>
      </c>
      <c r="F663" s="2"/>
      <c r="G663" s="2" t="n">
        <v>0</v>
      </c>
      <c r="H663" s="2" t="n">
        <v>719</v>
      </c>
      <c r="I663" s="2" t="s">
        <v>26</v>
      </c>
      <c r="J663" s="2" t="n">
        <v>701</v>
      </c>
      <c r="K663" s="2" t="n">
        <v>0</v>
      </c>
      <c r="L663" s="2" t="n">
        <v>16.3</v>
      </c>
      <c r="M663" s="2" t="s">
        <v>158</v>
      </c>
      <c r="N663" s="3" t="n">
        <v>12</v>
      </c>
      <c r="O663" s="3" t="n">
        <v>0.093</v>
      </c>
      <c r="P663" s="3" t="n">
        <v>97.05</v>
      </c>
      <c r="Q663" s="3" t="s">
        <v>1756</v>
      </c>
      <c r="R663" s="2"/>
      <c r="S663" s="2"/>
      <c r="T663" s="4" t="n">
        <f aca="false">DATE(VALUE(MID(C663,7,4)),VALUE(MID(C663,4,2)),VALUE(MID(C663,1,2)))+TIME(VALUE(MID(C663,12,2)),VALUE(MID(C663,15,2)),0)</f>
        <v>38853.6444444444</v>
      </c>
      <c r="U663" s="2" t="str">
        <f aca="false">IF(AND(ISNUMBER(VALUE(MID(A663,7,1))),ISNUMBER(SEARCH("km",A663)),ISNUMBER(SEARCH("of",A663))),"Distance-location","Named-region")</f>
        <v>Named-region</v>
      </c>
      <c r="V663" s="2" t="str">
        <f aca="false">LOWER(M663)</f>
        <v>mwb</v>
      </c>
      <c r="W663" s="5" t="str">
        <f aca="false">IF(COUNTIFS($A$2:$A$1001,A663,$C$2:$C$1001,C663)&gt;1,"Duplicate","Unique")</f>
        <v>Unique</v>
      </c>
    </row>
    <row r="664" customFormat="false" ht="15" hidden="false" customHeight="false" outlineLevel="0" collapsed="false">
      <c r="A664" s="2" t="s">
        <v>1757</v>
      </c>
      <c r="B664" s="3" t="n">
        <v>8</v>
      </c>
      <c r="C664" s="2" t="s">
        <v>1758</v>
      </c>
      <c r="D664" s="2" t="n">
        <v>7</v>
      </c>
      <c r="E664" s="2" t="n">
        <v>7</v>
      </c>
      <c r="F664" s="2"/>
      <c r="G664" s="2" t="n">
        <v>0</v>
      </c>
      <c r="H664" s="2" t="n">
        <v>1013</v>
      </c>
      <c r="I664" s="2" t="s">
        <v>26</v>
      </c>
      <c r="J664" s="2" t="n">
        <v>626</v>
      </c>
      <c r="K664" s="2" t="n">
        <v>0</v>
      </c>
      <c r="L664" s="2" t="n">
        <v>20.7</v>
      </c>
      <c r="M664" s="2" t="s">
        <v>131</v>
      </c>
      <c r="N664" s="3" t="n">
        <v>55</v>
      </c>
      <c r="O664" s="3" t="n">
        <v>-20.187</v>
      </c>
      <c r="P664" s="3" t="n">
        <v>-174.123</v>
      </c>
      <c r="Q664" s="3" t="s">
        <v>332</v>
      </c>
      <c r="R664" s="2"/>
      <c r="S664" s="2"/>
      <c r="T664" s="4" t="n">
        <f aca="false">DATE(VALUE(MID(C664,7,4)),VALUE(MID(C664,4,2)),VALUE(MID(C664,1,2)))+TIME(VALUE(MID(C664,12,2)),VALUE(MID(C664,15,2)),0)</f>
        <v>38840.6430555556</v>
      </c>
      <c r="U664" s="2" t="str">
        <f aca="false">IF(AND(ISNUMBER(VALUE(MID(A664,7,1))),ISNUMBER(SEARCH("km",A664)),ISNUMBER(SEARCH("of",A664))),"Distance-location","Named-region")</f>
        <v>Named-region</v>
      </c>
      <c r="V664" s="2" t="str">
        <f aca="false">LOWER(M664)</f>
        <v>mwc</v>
      </c>
      <c r="W664" s="5" t="str">
        <f aca="false">IF(COUNTIFS($A$2:$A$1001,A664,$C$2:$C$1001,C664)&gt;1,"Duplicate","Unique")</f>
        <v>Unique</v>
      </c>
    </row>
    <row r="665" customFormat="false" ht="15" hidden="false" customHeight="false" outlineLevel="0" collapsed="false">
      <c r="A665" s="2" t="s">
        <v>1759</v>
      </c>
      <c r="B665" s="3" t="n">
        <v>8</v>
      </c>
      <c r="C665" s="2" t="s">
        <v>1758</v>
      </c>
      <c r="D665" s="2" t="n">
        <v>8</v>
      </c>
      <c r="E665" s="2" t="n">
        <v>9</v>
      </c>
      <c r="F665" s="2"/>
      <c r="G665" s="2" t="n">
        <v>0</v>
      </c>
      <c r="H665" s="2" t="n">
        <v>1026</v>
      </c>
      <c r="I665" s="2" t="s">
        <v>1593</v>
      </c>
      <c r="J665" s="2" t="n">
        <v>0</v>
      </c>
      <c r="K665" s="2" t="n">
        <v>0</v>
      </c>
      <c r="L665" s="2" t="n">
        <v>0</v>
      </c>
      <c r="M665" s="2" t="s">
        <v>27</v>
      </c>
      <c r="N665" s="3" t="n">
        <v>60.5</v>
      </c>
      <c r="O665" s="3" t="n">
        <v>-19.99</v>
      </c>
      <c r="P665" s="3" t="n">
        <v>-173.907</v>
      </c>
      <c r="Q665" s="3" t="s">
        <v>332</v>
      </c>
      <c r="R665" s="2"/>
      <c r="S665" s="2"/>
      <c r="T665" s="4" t="n">
        <f aca="false">DATE(VALUE(MID(C665,7,4)),VALUE(MID(C665,4,2)),VALUE(MID(C665,1,2)))+TIME(VALUE(MID(C665,12,2)),VALUE(MID(C665,15,2)),0)</f>
        <v>38840.6430555556</v>
      </c>
      <c r="U665" s="2" t="str">
        <f aca="false">IF(AND(ISNUMBER(VALUE(MID(A665,7,1))),ISNUMBER(SEARCH("km",A665)),ISNUMBER(SEARCH("of",A665))),"Distance-location","Named-region")</f>
        <v>Named-region</v>
      </c>
      <c r="V665" s="2" t="str">
        <f aca="false">LOWER(M665)</f>
        <v>mww</v>
      </c>
      <c r="W665" s="5" t="str">
        <f aca="false">IF(COUNTIFS($A$2:$A$1001,A665,$C$2:$C$1001,C665)&gt;1,"Duplicate","Unique")</f>
        <v>Unique</v>
      </c>
    </row>
    <row r="666" customFormat="false" ht="15" hidden="false" customHeight="false" outlineLevel="0" collapsed="false">
      <c r="A666" s="2" t="s">
        <v>1760</v>
      </c>
      <c r="B666" s="3" t="n">
        <v>6.5</v>
      </c>
      <c r="C666" s="2" t="s">
        <v>1761</v>
      </c>
      <c r="D666" s="2" t="n">
        <v>7</v>
      </c>
      <c r="E666" s="2" t="n">
        <v>7</v>
      </c>
      <c r="F666" s="2"/>
      <c r="G666" s="2" t="n">
        <v>0</v>
      </c>
      <c r="H666" s="2" t="n">
        <v>653</v>
      </c>
      <c r="I666" s="2" t="s">
        <v>26</v>
      </c>
      <c r="J666" s="2" t="n">
        <v>282</v>
      </c>
      <c r="K666" s="2" t="n">
        <v>0</v>
      </c>
      <c r="L666" s="2" t="n">
        <v>46.3</v>
      </c>
      <c r="M666" s="2" t="s">
        <v>131</v>
      </c>
      <c r="N666" s="3" t="n">
        <v>12</v>
      </c>
      <c r="O666" s="3" t="n">
        <v>-27.211</v>
      </c>
      <c r="P666" s="3" t="n">
        <v>-71.056</v>
      </c>
      <c r="Q666" s="3" t="s">
        <v>1762</v>
      </c>
      <c r="R666" s="2"/>
      <c r="S666" s="2" t="s">
        <v>377</v>
      </c>
      <c r="T666" s="4" t="n">
        <f aca="false">DATE(VALUE(MID(C666,7,4)),VALUE(MID(C666,4,2)),VALUE(MID(C666,1,2)))+TIME(VALUE(MID(C666,12,2)),VALUE(MID(C666,15,2)),0)</f>
        <v>38837.9027777778</v>
      </c>
      <c r="U666" s="2" t="str">
        <f aca="false">IF(AND(ISNUMBER(VALUE(MID(A666,7,1))),ISNUMBER(SEARCH("km",A666)),ISNUMBER(SEARCH("of",A666))),"Distance-location","Named-region")</f>
        <v>Named-region</v>
      </c>
      <c r="V666" s="2" t="str">
        <f aca="false">LOWER(M666)</f>
        <v>mwc</v>
      </c>
      <c r="W666" s="5" t="str">
        <f aca="false">IF(COUNTIFS($A$2:$A$1001,A666,$C$2:$C$1001,C666)&gt;1,"Duplicate","Unique")</f>
        <v>Unique</v>
      </c>
    </row>
    <row r="667" customFormat="false" ht="15" hidden="false" customHeight="false" outlineLevel="0" collapsed="false">
      <c r="A667" s="2" t="s">
        <v>1763</v>
      </c>
      <c r="B667" s="3" t="n">
        <v>6.7</v>
      </c>
      <c r="C667" s="2" t="s">
        <v>1764</v>
      </c>
      <c r="D667" s="2" t="n">
        <v>6</v>
      </c>
      <c r="E667" s="2" t="n">
        <v>7</v>
      </c>
      <c r="F667" s="2"/>
      <c r="G667" s="2" t="n">
        <v>0</v>
      </c>
      <c r="H667" s="2" t="n">
        <v>696</v>
      </c>
      <c r="I667" s="2" t="s">
        <v>26</v>
      </c>
      <c r="J667" s="2" t="n">
        <v>277</v>
      </c>
      <c r="K667" s="2" t="n">
        <v>0</v>
      </c>
      <c r="L667" s="2" t="n">
        <v>25.6</v>
      </c>
      <c r="M667" s="2" t="s">
        <v>158</v>
      </c>
      <c r="N667" s="3" t="n">
        <v>12</v>
      </c>
      <c r="O667" s="3" t="n">
        <v>-27.017</v>
      </c>
      <c r="P667" s="3" t="n">
        <v>-71.022</v>
      </c>
      <c r="Q667" s="3" t="s">
        <v>1762</v>
      </c>
      <c r="R667" s="2"/>
      <c r="S667" s="2" t="s">
        <v>377</v>
      </c>
      <c r="T667" s="4" t="n">
        <f aca="false">DATE(VALUE(MID(C667,7,4)),VALUE(MID(C667,4,2)),VALUE(MID(C667,1,2)))+TIME(VALUE(MID(C667,12,2)),VALUE(MID(C667,15,2)),0)</f>
        <v>38837.8034722222</v>
      </c>
      <c r="U667" s="2" t="str">
        <f aca="false">IF(AND(ISNUMBER(VALUE(MID(A667,7,1))),ISNUMBER(SEARCH("km",A667)),ISNUMBER(SEARCH("of",A667))),"Distance-location","Named-region")</f>
        <v>Named-region</v>
      </c>
      <c r="V667" s="2" t="str">
        <f aca="false">LOWER(M667)</f>
        <v>mwb</v>
      </c>
      <c r="W667" s="5" t="str">
        <f aca="false">IF(COUNTIFS($A$2:$A$1001,A667,$C$2:$C$1001,C667)&gt;1,"Duplicate","Unique")</f>
        <v>Unique</v>
      </c>
    </row>
    <row r="668" customFormat="false" ht="15" hidden="false" customHeight="false" outlineLevel="0" collapsed="false">
      <c r="A668" s="2" t="s">
        <v>1765</v>
      </c>
      <c r="B668" s="3" t="n">
        <v>6.6</v>
      </c>
      <c r="C668" s="2" t="s">
        <v>1766</v>
      </c>
      <c r="D668" s="2" t="n">
        <v>0</v>
      </c>
      <c r="E668" s="2" t="n">
        <v>8</v>
      </c>
      <c r="F668" s="2"/>
      <c r="G668" s="2" t="n">
        <v>0</v>
      </c>
      <c r="H668" s="2" t="n">
        <v>670</v>
      </c>
      <c r="I668" s="2" t="s">
        <v>26</v>
      </c>
      <c r="J668" s="2" t="n">
        <v>645</v>
      </c>
      <c r="K668" s="2" t="n">
        <v>0</v>
      </c>
      <c r="L668" s="2" t="n">
        <v>28.4</v>
      </c>
      <c r="M668" s="2" t="s">
        <v>131</v>
      </c>
      <c r="N668" s="3" t="n">
        <v>11</v>
      </c>
      <c r="O668" s="3" t="n">
        <v>60.491</v>
      </c>
      <c r="P668" s="3" t="n">
        <v>167.516</v>
      </c>
      <c r="Q668" s="3" t="s">
        <v>1753</v>
      </c>
      <c r="R668" s="2" t="s">
        <v>84</v>
      </c>
      <c r="S668" s="2" t="s">
        <v>432</v>
      </c>
      <c r="T668" s="4" t="n">
        <f aca="false">DATE(VALUE(MID(C668,7,4)),VALUE(MID(C668,4,2)),VALUE(MID(C668,1,2)))+TIME(VALUE(MID(C668,12,2)),VALUE(MID(C668,15,2)),0)</f>
        <v>38836.7069444444</v>
      </c>
      <c r="U668" s="2" t="str">
        <f aca="false">IF(AND(ISNUMBER(VALUE(MID(A668,7,1))),ISNUMBER(SEARCH("km",A668)),ISNUMBER(SEARCH("of",A668))),"Distance-location","Named-region")</f>
        <v>Named-region</v>
      </c>
      <c r="V668" s="2" t="str">
        <f aca="false">LOWER(M668)</f>
        <v>mwc</v>
      </c>
      <c r="W668" s="5" t="str">
        <f aca="false">IF(COUNTIFS($A$2:$A$1001,A668,$C$2:$C$1001,C668)&gt;1,"Duplicate","Unique")</f>
        <v>Unique</v>
      </c>
    </row>
    <row r="669" customFormat="false" ht="15" hidden="false" customHeight="false" outlineLevel="0" collapsed="false">
      <c r="A669" s="2" t="s">
        <v>1767</v>
      </c>
      <c r="B669" s="3" t="n">
        <v>7.6</v>
      </c>
      <c r="C669" s="2" t="s">
        <v>1768</v>
      </c>
      <c r="D669" s="2" t="n">
        <v>0</v>
      </c>
      <c r="E669" s="2" t="n">
        <v>8</v>
      </c>
      <c r="F669" s="2"/>
      <c r="G669" s="2" t="n">
        <v>0</v>
      </c>
      <c r="H669" s="2" t="n">
        <v>889</v>
      </c>
      <c r="I669" s="2" t="s">
        <v>26</v>
      </c>
      <c r="J669" s="2" t="n">
        <v>579</v>
      </c>
      <c r="K669" s="2" t="n">
        <v>0</v>
      </c>
      <c r="L669" s="2" t="n">
        <v>18.5</v>
      </c>
      <c r="M669" s="2" t="s">
        <v>131</v>
      </c>
      <c r="N669" s="3" t="n">
        <v>22</v>
      </c>
      <c r="O669" s="3" t="n">
        <v>60.949</v>
      </c>
      <c r="P669" s="3" t="n">
        <v>167.089</v>
      </c>
      <c r="Q669" s="3" t="s">
        <v>1753</v>
      </c>
      <c r="R669" s="2" t="s">
        <v>84</v>
      </c>
      <c r="S669" s="2" t="s">
        <v>432</v>
      </c>
      <c r="T669" s="4" t="n">
        <f aca="false">DATE(VALUE(MID(C669,7,4)),VALUE(MID(C669,4,2)),VALUE(MID(C669,1,2)))+TIME(VALUE(MID(C669,12,2)),VALUE(MID(C669,15,2)),0)</f>
        <v>38827.9756944444</v>
      </c>
      <c r="U669" s="2" t="str">
        <f aca="false">IF(AND(ISNUMBER(VALUE(MID(A669,7,1))),ISNUMBER(SEARCH("km",A669)),ISNUMBER(SEARCH("of",A669))),"Distance-location","Named-region")</f>
        <v>Named-region</v>
      </c>
      <c r="V669" s="2" t="str">
        <f aca="false">LOWER(M669)</f>
        <v>mwc</v>
      </c>
      <c r="W669" s="5" t="str">
        <f aca="false">IF(COUNTIFS($A$2:$A$1001,A669,$C$2:$C$1001,C669)&gt;1,"Duplicate","Unique")</f>
        <v>Unique</v>
      </c>
    </row>
    <row r="670" customFormat="false" ht="15" hidden="false" customHeight="false" outlineLevel="0" collapsed="false">
      <c r="A670" s="2" t="s">
        <v>1769</v>
      </c>
      <c r="B670" s="3" t="n">
        <v>6.5</v>
      </c>
      <c r="C670" s="2" t="s">
        <v>1770</v>
      </c>
      <c r="D670" s="2" t="n">
        <v>3</v>
      </c>
      <c r="E670" s="2" t="n">
        <v>5</v>
      </c>
      <c r="F670" s="2"/>
      <c r="G670" s="2" t="n">
        <v>0</v>
      </c>
      <c r="H670" s="2" t="n">
        <v>654</v>
      </c>
      <c r="I670" s="2" t="s">
        <v>26</v>
      </c>
      <c r="J670" s="2" t="n">
        <v>247</v>
      </c>
      <c r="K670" s="2" t="n">
        <v>0</v>
      </c>
      <c r="L670" s="2" t="n">
        <v>25.5</v>
      </c>
      <c r="M670" s="2" t="s">
        <v>131</v>
      </c>
      <c r="N670" s="3" t="n">
        <v>14</v>
      </c>
      <c r="O670" s="3" t="n">
        <v>-16.527</v>
      </c>
      <c r="P670" s="3" t="n">
        <v>176.989</v>
      </c>
      <c r="Q670" s="3" t="s">
        <v>1771</v>
      </c>
      <c r="R670" s="2"/>
      <c r="S670" s="2"/>
      <c r="T670" s="4" t="n">
        <f aca="false">DATE(VALUE(MID(C670,7,4)),VALUE(MID(C670,4,2)),VALUE(MID(C670,1,2)))+TIME(VALUE(MID(C670,12,2)),VALUE(MID(C670,15,2)),0)</f>
        <v>38814.3541666667</v>
      </c>
      <c r="U670" s="2" t="str">
        <f aca="false">IF(AND(ISNUMBER(VALUE(MID(A670,7,1))),ISNUMBER(SEARCH("km",A670)),ISNUMBER(SEARCH("of",A670))),"Distance-location","Named-region")</f>
        <v>Named-region</v>
      </c>
      <c r="V670" s="2" t="str">
        <f aca="false">LOWER(M670)</f>
        <v>mwc</v>
      </c>
      <c r="W670" s="5" t="str">
        <f aca="false">IF(COUNTIFS($A$2:$A$1001,A670,$C$2:$C$1001,C670)&gt;1,"Duplicate","Unique")</f>
        <v>Unique</v>
      </c>
    </row>
    <row r="671" customFormat="false" ht="15" hidden="false" customHeight="false" outlineLevel="0" collapsed="false">
      <c r="A671" s="2" t="s">
        <v>1772</v>
      </c>
      <c r="B671" s="3" t="n">
        <v>6.7</v>
      </c>
      <c r="C671" s="2" t="s">
        <v>1773</v>
      </c>
      <c r="D671" s="2" t="n">
        <v>0</v>
      </c>
      <c r="E671" s="2" t="n">
        <v>7</v>
      </c>
      <c r="F671" s="2"/>
      <c r="G671" s="2" t="n">
        <v>0</v>
      </c>
      <c r="H671" s="2" t="n">
        <v>691</v>
      </c>
      <c r="I671" s="2" t="s">
        <v>26</v>
      </c>
      <c r="J671" s="2" t="n">
        <v>306</v>
      </c>
      <c r="K671" s="2" t="n">
        <v>0</v>
      </c>
      <c r="L671" s="2" t="n">
        <v>21.3</v>
      </c>
      <c r="M671" s="2" t="s">
        <v>158</v>
      </c>
      <c r="N671" s="3" t="n">
        <v>30.1</v>
      </c>
      <c r="O671" s="3" t="n">
        <v>-3.595</v>
      </c>
      <c r="P671" s="3" t="n">
        <v>127.214</v>
      </c>
      <c r="Q671" s="3" t="s">
        <v>1774</v>
      </c>
      <c r="R671" s="2"/>
      <c r="S671" s="2" t="s">
        <v>72</v>
      </c>
      <c r="T671" s="4" t="n">
        <f aca="false">DATE(VALUE(MID(C671,7,4)),VALUE(MID(C671,4,2)),VALUE(MID(C671,1,2)))+TIME(VALUE(MID(C671,12,2)),VALUE(MID(C671,15,2)),0)</f>
        <v>38790.2895833333</v>
      </c>
      <c r="U671" s="2" t="str">
        <f aca="false">IF(AND(ISNUMBER(VALUE(MID(A671,7,1))),ISNUMBER(SEARCH("km",A671)),ISNUMBER(SEARCH("of",A671))),"Distance-location","Named-region")</f>
        <v>Named-region</v>
      </c>
      <c r="V671" s="2" t="str">
        <f aca="false">LOWER(M671)</f>
        <v>mwb</v>
      </c>
      <c r="W671" s="5" t="str">
        <f aca="false">IF(COUNTIFS($A$2:$A$1001,A671,$C$2:$C$1001,C671)&gt;1,"Duplicate","Unique")</f>
        <v>Unique</v>
      </c>
    </row>
    <row r="672" customFormat="false" ht="15" hidden="false" customHeight="false" outlineLevel="0" collapsed="false">
      <c r="A672" s="2" t="s">
        <v>1775</v>
      </c>
      <c r="B672" s="3" t="n">
        <v>7</v>
      </c>
      <c r="C672" s="2" t="s">
        <v>1776</v>
      </c>
      <c r="D672" s="2" t="n">
        <v>5</v>
      </c>
      <c r="E672" s="2" t="n">
        <v>9</v>
      </c>
      <c r="F672" s="2"/>
      <c r="G672" s="2" t="n">
        <v>0</v>
      </c>
      <c r="H672" s="2" t="n">
        <v>891</v>
      </c>
      <c r="I672" s="2" t="s">
        <v>26</v>
      </c>
      <c r="J672" s="2" t="n">
        <v>412</v>
      </c>
      <c r="K672" s="2" t="n">
        <v>0</v>
      </c>
      <c r="L672" s="2" t="n">
        <v>23.2</v>
      </c>
      <c r="M672" s="2" t="s">
        <v>158</v>
      </c>
      <c r="N672" s="3" t="n">
        <v>11</v>
      </c>
      <c r="O672" s="3" t="n">
        <v>-21.324</v>
      </c>
      <c r="P672" s="3" t="n">
        <v>33.583</v>
      </c>
      <c r="Q672" s="3" t="s">
        <v>1777</v>
      </c>
      <c r="R672" s="2" t="s">
        <v>726</v>
      </c>
      <c r="S672" s="2" t="s">
        <v>1778</v>
      </c>
      <c r="T672" s="4" t="n">
        <f aca="false">DATE(VALUE(MID(C672,7,4)),VALUE(MID(C672,4,2)),VALUE(MID(C672,1,2)))+TIME(VALUE(MID(C672,12,2)),VALUE(MID(C672,15,2)),0)</f>
        <v>38770.9298611111</v>
      </c>
      <c r="U672" s="2" t="str">
        <f aca="false">IF(AND(ISNUMBER(VALUE(MID(A672,7,1))),ISNUMBER(SEARCH("km",A672)),ISNUMBER(SEARCH("of",A672))),"Distance-location","Named-region")</f>
        <v>Named-region</v>
      </c>
      <c r="V672" s="2" t="str">
        <f aca="false">LOWER(M672)</f>
        <v>mwb</v>
      </c>
      <c r="W672" s="5" t="str">
        <f aca="false">IF(COUNTIFS($A$2:$A$1001,A672,$C$2:$C$1001,C672)&gt;1,"Duplicate","Unique")</f>
        <v>Unique</v>
      </c>
    </row>
    <row r="673" customFormat="false" ht="15" hidden="false" customHeight="false" outlineLevel="0" collapsed="false">
      <c r="A673" s="2" t="s">
        <v>1779</v>
      </c>
      <c r="B673" s="3" t="n">
        <v>6.7</v>
      </c>
      <c r="C673" s="2" t="s">
        <v>1780</v>
      </c>
      <c r="D673" s="2" t="n">
        <v>7</v>
      </c>
      <c r="E673" s="2" t="n">
        <v>6</v>
      </c>
      <c r="F673" s="2"/>
      <c r="G673" s="2" t="n">
        <v>0</v>
      </c>
      <c r="H673" s="2" t="n">
        <v>934</v>
      </c>
      <c r="I673" s="2" t="s">
        <v>26</v>
      </c>
      <c r="J673" s="2" t="n">
        <v>769</v>
      </c>
      <c r="K673" s="2" t="n">
        <v>0</v>
      </c>
      <c r="L673" s="2" t="n">
        <v>19.7</v>
      </c>
      <c r="M673" s="2" t="s">
        <v>158</v>
      </c>
      <c r="N673" s="3" t="n">
        <v>66</v>
      </c>
      <c r="O673" s="3" t="n">
        <v>36.311</v>
      </c>
      <c r="P673" s="3" t="n">
        <v>23.212</v>
      </c>
      <c r="Q673" s="3" t="s">
        <v>1781</v>
      </c>
      <c r="R673" s="2" t="s">
        <v>365</v>
      </c>
      <c r="S673" s="2" t="s">
        <v>366</v>
      </c>
      <c r="T673" s="4" t="n">
        <f aca="false">DATE(VALUE(MID(C673,7,4)),VALUE(MID(C673,4,2)),VALUE(MID(C673,1,2)))+TIME(VALUE(MID(C673,12,2)),VALUE(MID(C673,15,2)),0)</f>
        <v>38725.4819444444</v>
      </c>
      <c r="U673" s="2" t="str">
        <f aca="false">IF(AND(ISNUMBER(VALUE(MID(A673,7,1))),ISNUMBER(SEARCH("km",A673)),ISNUMBER(SEARCH("of",A673))),"Distance-location","Named-region")</f>
        <v>Named-region</v>
      </c>
      <c r="V673" s="2" t="str">
        <f aca="false">LOWER(M673)</f>
        <v>mwb</v>
      </c>
      <c r="W673" s="5" t="str">
        <f aca="false">IF(COUNTIFS($A$2:$A$1001,A673,$C$2:$C$1001,C673)&gt;1,"Duplicate","Unique")</f>
        <v>Unique</v>
      </c>
    </row>
    <row r="674" customFormat="false" ht="15" hidden="false" customHeight="false" outlineLevel="0" collapsed="false">
      <c r="A674" s="2" t="s">
        <v>1782</v>
      </c>
      <c r="B674" s="3" t="n">
        <v>6.6</v>
      </c>
      <c r="C674" s="2" t="s">
        <v>1783</v>
      </c>
      <c r="D674" s="2" t="n">
        <v>7</v>
      </c>
      <c r="E674" s="2" t="n">
        <v>6</v>
      </c>
      <c r="F674" s="2"/>
      <c r="G674" s="2" t="n">
        <v>0</v>
      </c>
      <c r="H674" s="2" t="n">
        <v>703</v>
      </c>
      <c r="I674" s="2" t="s">
        <v>26</v>
      </c>
      <c r="J674" s="2" t="n">
        <v>323</v>
      </c>
      <c r="K674" s="2" t="n">
        <v>0</v>
      </c>
      <c r="L674" s="2" t="n">
        <v>48.2</v>
      </c>
      <c r="M674" s="2" t="s">
        <v>131</v>
      </c>
      <c r="N674" s="3" t="n">
        <v>14</v>
      </c>
      <c r="O674" s="3" t="n">
        <v>28.164</v>
      </c>
      <c r="P674" s="3" t="n">
        <v>-112.117</v>
      </c>
      <c r="Q674" s="3" t="s">
        <v>1548</v>
      </c>
      <c r="R674" s="2"/>
      <c r="S674" s="2"/>
      <c r="T674" s="4" t="n">
        <f aca="false">DATE(VALUE(MID(C674,7,4)),VALUE(MID(C674,4,2)),VALUE(MID(C674,1,2)))+TIME(VALUE(MID(C674,12,2)),VALUE(MID(C674,15,2)),0)</f>
        <v>38721.3555555556</v>
      </c>
      <c r="U674" s="2" t="str">
        <f aca="false">IF(AND(ISNUMBER(VALUE(MID(A674,7,1))),ISNUMBER(SEARCH("km",A674)),ISNUMBER(SEARCH("of",A674))),"Distance-location","Named-region")</f>
        <v>Named-region</v>
      </c>
      <c r="V674" s="2" t="str">
        <f aca="false">LOWER(M674)</f>
        <v>mwc</v>
      </c>
      <c r="W674" s="5" t="str">
        <f aca="false">IF(COUNTIFS($A$2:$A$1001,A674,$C$2:$C$1001,C674)&gt;1,"Duplicate","Unique")</f>
        <v>Unique</v>
      </c>
    </row>
    <row r="675" customFormat="false" ht="15" hidden="false" customHeight="false" outlineLevel="0" collapsed="false">
      <c r="A675" s="2" t="s">
        <v>1784</v>
      </c>
      <c r="B675" s="3" t="n">
        <v>6.5</v>
      </c>
      <c r="C675" s="2" t="s">
        <v>1785</v>
      </c>
      <c r="D675" s="2" t="n">
        <v>6</v>
      </c>
      <c r="E675" s="2" t="n">
        <v>5</v>
      </c>
      <c r="F675" s="2"/>
      <c r="G675" s="2" t="n">
        <v>0</v>
      </c>
      <c r="H675" s="2" t="n">
        <v>721</v>
      </c>
      <c r="I675" s="2" t="s">
        <v>26</v>
      </c>
      <c r="J675" s="2" t="n">
        <v>529</v>
      </c>
      <c r="K675" s="2" t="n">
        <v>0</v>
      </c>
      <c r="L675" s="2" t="n">
        <v>20.5</v>
      </c>
      <c r="M675" s="2" t="s">
        <v>158</v>
      </c>
      <c r="N675" s="3" t="n">
        <v>224.6</v>
      </c>
      <c r="O675" s="3" t="n">
        <v>36.357</v>
      </c>
      <c r="P675" s="3" t="n">
        <v>71.093</v>
      </c>
      <c r="Q675" s="3" t="s">
        <v>836</v>
      </c>
      <c r="R675" s="2" t="s">
        <v>84</v>
      </c>
      <c r="S675" s="2" t="s">
        <v>96</v>
      </c>
      <c r="T675" s="4" t="n">
        <f aca="false">DATE(VALUE(MID(C675,7,4)),VALUE(MID(C675,4,2)),VALUE(MID(C675,1,2)))+TIME(VALUE(MID(C675,12,2)),VALUE(MID(C675,15,2)),0)</f>
        <v>38698.9076388889</v>
      </c>
      <c r="U675" s="2" t="str">
        <f aca="false">IF(AND(ISNUMBER(VALUE(MID(A675,7,1))),ISNUMBER(SEARCH("km",A675)),ISNUMBER(SEARCH("of",A675))),"Distance-location","Named-region")</f>
        <v>Named-region</v>
      </c>
      <c r="V675" s="2" t="str">
        <f aca="false">LOWER(M675)</f>
        <v>mwb</v>
      </c>
      <c r="W675" s="5" t="str">
        <f aca="false">IF(COUNTIFS($A$2:$A$1001,A675,$C$2:$C$1001,C675)&gt;1,"Duplicate","Unique")</f>
        <v>Unique</v>
      </c>
    </row>
    <row r="676" customFormat="false" ht="28.35" hidden="false" customHeight="false" outlineLevel="0" collapsed="false">
      <c r="A676" s="2" t="s">
        <v>1786</v>
      </c>
      <c r="B676" s="3" t="n">
        <v>6.8</v>
      </c>
      <c r="C676" s="2" t="s">
        <v>1787</v>
      </c>
      <c r="D676" s="2" t="n">
        <v>5</v>
      </c>
      <c r="E676" s="2" t="n">
        <v>7</v>
      </c>
      <c r="F676" s="2"/>
      <c r="G676" s="2" t="n">
        <v>0</v>
      </c>
      <c r="H676" s="2" t="n">
        <v>744</v>
      </c>
      <c r="I676" s="2" t="s">
        <v>26</v>
      </c>
      <c r="J676" s="2" t="n">
        <v>561</v>
      </c>
      <c r="K676" s="2" t="n">
        <v>0</v>
      </c>
      <c r="L676" s="2" t="n">
        <v>20</v>
      </c>
      <c r="M676" s="2" t="s">
        <v>131</v>
      </c>
      <c r="N676" s="3" t="n">
        <v>22</v>
      </c>
      <c r="O676" s="3" t="n">
        <v>-6.224</v>
      </c>
      <c r="P676" s="3" t="n">
        <v>29.83</v>
      </c>
      <c r="Q676" s="3" t="s">
        <v>1788</v>
      </c>
      <c r="R676" s="2" t="s">
        <v>726</v>
      </c>
      <c r="S676" s="2" t="s">
        <v>1789</v>
      </c>
      <c r="T676" s="4" t="n">
        <f aca="false">DATE(VALUE(MID(C676,7,4)),VALUE(MID(C676,4,2)),VALUE(MID(C676,1,2)))+TIME(VALUE(MID(C676,12,2)),VALUE(MID(C676,15,2)),0)</f>
        <v>38691.5131944444</v>
      </c>
      <c r="U676" s="2" t="str">
        <f aca="false">IF(AND(ISNUMBER(VALUE(MID(A676,7,1))),ISNUMBER(SEARCH("km",A676)),ISNUMBER(SEARCH("of",A676))),"Distance-location","Named-region")</f>
        <v>Named-region</v>
      </c>
      <c r="V676" s="2" t="str">
        <f aca="false">LOWER(M676)</f>
        <v>mwc</v>
      </c>
      <c r="W676" s="5" t="str">
        <f aca="false">IF(COUNTIFS($A$2:$A$1001,A676,$C$2:$C$1001,C676)&gt;1,"Duplicate","Unique")</f>
        <v>Unique</v>
      </c>
    </row>
    <row r="677" customFormat="false" ht="15" hidden="false" customHeight="false" outlineLevel="0" collapsed="false">
      <c r="A677" s="2" t="s">
        <v>1790</v>
      </c>
      <c r="B677" s="3" t="n">
        <v>6.5</v>
      </c>
      <c r="C677" s="2" t="s">
        <v>1791</v>
      </c>
      <c r="D677" s="2" t="n">
        <v>4</v>
      </c>
      <c r="E677" s="2" t="n">
        <v>5</v>
      </c>
      <c r="F677" s="2"/>
      <c r="G677" s="2" t="n">
        <v>0</v>
      </c>
      <c r="H677" s="2" t="n">
        <v>683</v>
      </c>
      <c r="I677" s="2" t="s">
        <v>26</v>
      </c>
      <c r="J677" s="2" t="n">
        <v>464</v>
      </c>
      <c r="K677" s="2" t="n">
        <v>0</v>
      </c>
      <c r="L677" s="2" t="n">
        <v>48.8</v>
      </c>
      <c r="M677" s="2" t="s">
        <v>131</v>
      </c>
      <c r="N677" s="3" t="n">
        <v>29</v>
      </c>
      <c r="O677" s="3" t="n">
        <v>38.089</v>
      </c>
      <c r="P677" s="3" t="n">
        <v>142.122</v>
      </c>
      <c r="Q677" s="3" t="s">
        <v>335</v>
      </c>
      <c r="R677" s="2"/>
      <c r="S677" s="2"/>
      <c r="T677" s="4" t="n">
        <f aca="false">DATE(VALUE(MID(C677,7,4)),VALUE(MID(C677,4,2)),VALUE(MID(C677,1,2)))+TIME(VALUE(MID(C677,12,2)),VALUE(MID(C677,15,2)),0)</f>
        <v>38688.5506944444</v>
      </c>
      <c r="U677" s="2" t="str">
        <f aca="false">IF(AND(ISNUMBER(VALUE(MID(A677,7,1))),ISNUMBER(SEARCH("km",A677)),ISNUMBER(SEARCH("of",A677))),"Distance-location","Named-region")</f>
        <v>Named-region</v>
      </c>
      <c r="V677" s="2" t="str">
        <f aca="false">LOWER(M677)</f>
        <v>mwc</v>
      </c>
      <c r="W677" s="5" t="str">
        <f aca="false">IF(COUNTIFS($A$2:$A$1001,A677,$C$2:$C$1001,C677)&gt;1,"Duplicate","Unique")</f>
        <v>Unique</v>
      </c>
    </row>
    <row r="678" customFormat="false" ht="15" hidden="false" customHeight="false" outlineLevel="0" collapsed="false">
      <c r="A678" s="2" t="s">
        <v>1792</v>
      </c>
      <c r="B678" s="3" t="n">
        <v>6.5</v>
      </c>
      <c r="C678" s="2" t="s">
        <v>1793</v>
      </c>
      <c r="D678" s="2" t="n">
        <v>3</v>
      </c>
      <c r="E678" s="2" t="n">
        <v>6</v>
      </c>
      <c r="F678" s="2"/>
      <c r="G678" s="2" t="n">
        <v>0</v>
      </c>
      <c r="H678" s="2" t="n">
        <v>651</v>
      </c>
      <c r="I678" s="2" t="s">
        <v>26</v>
      </c>
      <c r="J678" s="2" t="n">
        <v>358</v>
      </c>
      <c r="K678" s="2" t="n">
        <v>0</v>
      </c>
      <c r="L678" s="2" t="n">
        <v>20.7</v>
      </c>
      <c r="M678" s="2" t="s">
        <v>158</v>
      </c>
      <c r="N678" s="3" t="n">
        <v>21</v>
      </c>
      <c r="O678" s="3" t="n">
        <v>2.164</v>
      </c>
      <c r="P678" s="3" t="n">
        <v>96.786</v>
      </c>
      <c r="Q678" s="3" t="s">
        <v>321</v>
      </c>
      <c r="R678" s="2"/>
      <c r="S678" s="2" t="s">
        <v>72</v>
      </c>
      <c r="T678" s="4" t="n">
        <f aca="false">DATE(VALUE(MID(C678,7,4)),VALUE(MID(C678,4,2)),VALUE(MID(C678,1,2)))+TIME(VALUE(MID(C678,12,2)),VALUE(MID(C678,15,2)),0)</f>
        <v>38675.5902777778</v>
      </c>
      <c r="U678" s="2" t="str">
        <f aca="false">IF(AND(ISNUMBER(VALUE(MID(A678,7,1))),ISNUMBER(SEARCH("km",A678)),ISNUMBER(SEARCH("of",A678))),"Distance-location","Named-region")</f>
        <v>Named-region</v>
      </c>
      <c r="V678" s="2" t="str">
        <f aca="false">LOWER(M678)</f>
        <v>mwb</v>
      </c>
      <c r="W678" s="5" t="str">
        <f aca="false">IF(COUNTIFS($A$2:$A$1001,A678,$C$2:$C$1001,C678)&gt;1,"Duplicate","Unique")</f>
        <v>Unique</v>
      </c>
    </row>
    <row r="679" customFormat="false" ht="15" hidden="false" customHeight="false" outlineLevel="0" collapsed="false">
      <c r="A679" s="2" t="s">
        <v>1794</v>
      </c>
      <c r="B679" s="3" t="n">
        <v>6.8</v>
      </c>
      <c r="C679" s="2" t="s">
        <v>1795</v>
      </c>
      <c r="D679" s="2" t="n">
        <v>0</v>
      </c>
      <c r="E679" s="2" t="n">
        <v>6</v>
      </c>
      <c r="F679" s="2"/>
      <c r="G679" s="2" t="n">
        <v>0</v>
      </c>
      <c r="H679" s="2" t="n">
        <v>711</v>
      </c>
      <c r="I679" s="2" t="s">
        <v>26</v>
      </c>
      <c r="J679" s="2" t="n">
        <v>509</v>
      </c>
      <c r="K679" s="2" t="n">
        <v>0</v>
      </c>
      <c r="L679" s="2" t="n">
        <v>30.1</v>
      </c>
      <c r="M679" s="2" t="s">
        <v>158</v>
      </c>
      <c r="N679" s="3" t="n">
        <v>147</v>
      </c>
      <c r="O679" s="3" t="n">
        <v>-22.361</v>
      </c>
      <c r="P679" s="3" t="n">
        <v>-67.895</v>
      </c>
      <c r="Q679" s="3" t="s">
        <v>408</v>
      </c>
      <c r="R679" s="2" t="s">
        <v>37</v>
      </c>
      <c r="S679" s="2" t="s">
        <v>622</v>
      </c>
      <c r="T679" s="4" t="n">
        <f aca="false">DATE(VALUE(MID(C679,7,4)),VALUE(MID(C679,4,2)),VALUE(MID(C679,1,2)))+TIME(VALUE(MID(C679,12,2)),VALUE(MID(C679,15,2)),0)</f>
        <v>38673.8097222222</v>
      </c>
      <c r="U679" s="2" t="str">
        <f aca="false">IF(AND(ISNUMBER(VALUE(MID(A679,7,1))),ISNUMBER(SEARCH("km",A679)),ISNUMBER(SEARCH("of",A679))),"Distance-location","Named-region")</f>
        <v>Named-region</v>
      </c>
      <c r="V679" s="2" t="str">
        <f aca="false">LOWER(M679)</f>
        <v>mwb</v>
      </c>
      <c r="W679" s="5" t="str">
        <f aca="false">IF(COUNTIFS($A$2:$A$1001,A679,$C$2:$C$1001,C679)&gt;1,"Duplicate","Unique")</f>
        <v>Unique</v>
      </c>
    </row>
    <row r="680" customFormat="false" ht="15" hidden="false" customHeight="false" outlineLevel="0" collapsed="false">
      <c r="A680" s="2" t="s">
        <v>1796</v>
      </c>
      <c r="B680" s="3" t="n">
        <v>7.6</v>
      </c>
      <c r="C680" s="2" t="s">
        <v>1797</v>
      </c>
      <c r="D680" s="2" t="n">
        <v>9</v>
      </c>
      <c r="E680" s="2" t="n">
        <v>9</v>
      </c>
      <c r="F680" s="2"/>
      <c r="G680" s="2" t="n">
        <v>0</v>
      </c>
      <c r="H680" s="2" t="n">
        <v>1267</v>
      </c>
      <c r="I680" s="2" t="s">
        <v>26</v>
      </c>
      <c r="J680" s="2" t="n">
        <v>724</v>
      </c>
      <c r="K680" s="2" t="n">
        <v>0</v>
      </c>
      <c r="L680" s="2" t="n">
        <v>21.1</v>
      </c>
      <c r="M680" s="2" t="s">
        <v>131</v>
      </c>
      <c r="N680" s="3" t="n">
        <v>26</v>
      </c>
      <c r="O680" s="3" t="n">
        <v>34.539</v>
      </c>
      <c r="P680" s="3" t="n">
        <v>73.588</v>
      </c>
      <c r="Q680" s="3" t="s">
        <v>1798</v>
      </c>
      <c r="R680" s="2" t="s">
        <v>84</v>
      </c>
      <c r="S680" s="2" t="s">
        <v>1138</v>
      </c>
      <c r="T680" s="4" t="n">
        <f aca="false">DATE(VALUE(MID(C680,7,4)),VALUE(MID(C680,4,2)),VALUE(MID(C680,1,2)))+TIME(VALUE(MID(C680,12,2)),VALUE(MID(C680,15,2)),0)</f>
        <v>38633.1597222222</v>
      </c>
      <c r="U680" s="2" t="str">
        <f aca="false">IF(AND(ISNUMBER(VALUE(MID(A680,7,1))),ISNUMBER(SEARCH("km",A680)),ISNUMBER(SEARCH("of",A680))),"Distance-location","Named-region")</f>
        <v>Named-region</v>
      </c>
      <c r="V680" s="2" t="str">
        <f aca="false">LOWER(M680)</f>
        <v>mwc</v>
      </c>
      <c r="W680" s="5" t="str">
        <f aca="false">IF(COUNTIFS($A$2:$A$1001,A680,$C$2:$C$1001,C680)&gt;1,"Duplicate","Unique")</f>
        <v>Unique</v>
      </c>
    </row>
    <row r="681" customFormat="false" ht="15" hidden="false" customHeight="false" outlineLevel="0" collapsed="false">
      <c r="A681" s="2" t="s">
        <v>1799</v>
      </c>
      <c r="B681" s="3" t="n">
        <v>6.6</v>
      </c>
      <c r="C681" s="2" t="s">
        <v>1800</v>
      </c>
      <c r="D681" s="2" t="n">
        <v>0</v>
      </c>
      <c r="E681" s="2" t="n">
        <v>6</v>
      </c>
      <c r="F681" s="2"/>
      <c r="G681" s="2" t="n">
        <v>0</v>
      </c>
      <c r="H681" s="2" t="n">
        <v>670</v>
      </c>
      <c r="I681" s="2" t="s">
        <v>26</v>
      </c>
      <c r="J681" s="2" t="n">
        <v>402</v>
      </c>
      <c r="K681" s="2" t="n">
        <v>0</v>
      </c>
      <c r="L681" s="2" t="n">
        <v>17.7</v>
      </c>
      <c r="M681" s="2" t="s">
        <v>131</v>
      </c>
      <c r="N681" s="3" t="n">
        <v>25</v>
      </c>
      <c r="O681" s="3" t="n">
        <v>-5.437</v>
      </c>
      <c r="P681" s="3" t="n">
        <v>151.84</v>
      </c>
      <c r="Q681" s="3" t="s">
        <v>629</v>
      </c>
      <c r="R681" s="2"/>
      <c r="S681" s="2" t="s">
        <v>89</v>
      </c>
      <c r="T681" s="4" t="n">
        <f aca="false">DATE(VALUE(MID(C681,7,4)),VALUE(MID(C681,4,2)),VALUE(MID(C681,1,2)))+TIME(VALUE(MID(C681,12,2)),VALUE(MID(C681,15,2)),0)</f>
        <v>38624.6597222222</v>
      </c>
      <c r="U681" s="2" t="str">
        <f aca="false">IF(AND(ISNUMBER(VALUE(MID(A681,7,1))),ISNUMBER(SEARCH("km",A681)),ISNUMBER(SEARCH("of",A681))),"Distance-location","Named-region")</f>
        <v>Named-region</v>
      </c>
      <c r="V681" s="2" t="str">
        <f aca="false">LOWER(M681)</f>
        <v>mwc</v>
      </c>
      <c r="W681" s="5" t="str">
        <f aca="false">IF(COUNTIFS($A$2:$A$1001,A681,$C$2:$C$1001,C681)&gt;1,"Duplicate","Unique")</f>
        <v>Unique</v>
      </c>
    </row>
    <row r="682" customFormat="false" ht="15" hidden="false" customHeight="false" outlineLevel="0" collapsed="false">
      <c r="A682" s="2" t="s">
        <v>1801</v>
      </c>
      <c r="B682" s="3" t="n">
        <v>7.5</v>
      </c>
      <c r="C682" s="2" t="s">
        <v>1802</v>
      </c>
      <c r="D682" s="2" t="n">
        <v>8</v>
      </c>
      <c r="E682" s="2" t="n">
        <v>7</v>
      </c>
      <c r="F682" s="2"/>
      <c r="G682" s="2" t="n">
        <v>0</v>
      </c>
      <c r="H682" s="2" t="n">
        <v>1018</v>
      </c>
      <c r="I682" s="2" t="s">
        <v>26</v>
      </c>
      <c r="J682" s="2" t="n">
        <v>696</v>
      </c>
      <c r="K682" s="2" t="n">
        <v>0</v>
      </c>
      <c r="L682" s="2" t="n">
        <v>26.2</v>
      </c>
      <c r="M682" s="2" t="s">
        <v>158</v>
      </c>
      <c r="N682" s="3" t="n">
        <v>115</v>
      </c>
      <c r="O682" s="3" t="n">
        <v>-5.678</v>
      </c>
      <c r="P682" s="3" t="n">
        <v>-76.398</v>
      </c>
      <c r="Q682" s="3" t="s">
        <v>1803</v>
      </c>
      <c r="R682" s="2" t="s">
        <v>37</v>
      </c>
      <c r="S682" s="2" t="s">
        <v>203</v>
      </c>
      <c r="T682" s="4" t="n">
        <f aca="false">DATE(VALUE(MID(C682,7,4)),VALUE(MID(C682,4,2)),VALUE(MID(C682,1,2)))+TIME(VALUE(MID(C682,12,2)),VALUE(MID(C682,15,2)),0)</f>
        <v>38621.0798611111</v>
      </c>
      <c r="U682" s="2" t="str">
        <f aca="false">IF(AND(ISNUMBER(VALUE(MID(A682,7,1))),ISNUMBER(SEARCH("km",A682)),ISNUMBER(SEARCH("of",A682))),"Distance-location","Named-region")</f>
        <v>Named-region</v>
      </c>
      <c r="V682" s="2" t="str">
        <f aca="false">LOWER(M682)</f>
        <v>mwb</v>
      </c>
      <c r="W682" s="5" t="str">
        <f aca="false">IF(COUNTIFS($A$2:$A$1001,A682,$C$2:$C$1001,C682)&gt;1,"Duplicate","Unique")</f>
        <v>Unique</v>
      </c>
    </row>
    <row r="683" customFormat="false" ht="15" hidden="false" customHeight="false" outlineLevel="0" collapsed="false">
      <c r="A683" s="2" t="s">
        <v>1804</v>
      </c>
      <c r="B683" s="3" t="n">
        <v>7.6</v>
      </c>
      <c r="C683" s="2" t="s">
        <v>1805</v>
      </c>
      <c r="D683" s="2" t="n">
        <v>5</v>
      </c>
      <c r="E683" s="2" t="n">
        <v>7</v>
      </c>
      <c r="F683" s="2"/>
      <c r="G683" s="2" t="n">
        <v>0</v>
      </c>
      <c r="H683" s="2" t="n">
        <v>891</v>
      </c>
      <c r="I683" s="2" t="s">
        <v>26</v>
      </c>
      <c r="J683" s="2" t="n">
        <v>502</v>
      </c>
      <c r="K683" s="2" t="n">
        <v>0</v>
      </c>
      <c r="L683" s="2" t="n">
        <v>20</v>
      </c>
      <c r="M683" s="2" t="s">
        <v>131</v>
      </c>
      <c r="N683" s="3" t="n">
        <v>90</v>
      </c>
      <c r="O683" s="3" t="n">
        <v>-4.539</v>
      </c>
      <c r="P683" s="3" t="n">
        <v>153.474</v>
      </c>
      <c r="Q683" s="3" t="s">
        <v>629</v>
      </c>
      <c r="R683" s="2"/>
      <c r="S683" s="2" t="s">
        <v>89</v>
      </c>
      <c r="T683" s="4" t="n">
        <f aca="false">DATE(VALUE(MID(C683,7,4)),VALUE(MID(C683,4,2)),VALUE(MID(C683,1,2)))+TIME(VALUE(MID(C683,12,2)),VALUE(MID(C683,15,2)),0)</f>
        <v>38604.3097222222</v>
      </c>
      <c r="U683" s="2" t="str">
        <f aca="false">IF(AND(ISNUMBER(VALUE(MID(A683,7,1))),ISNUMBER(SEARCH("km",A683)),ISNUMBER(SEARCH("of",A683))),"Distance-location","Named-region")</f>
        <v>Named-region</v>
      </c>
      <c r="V683" s="2" t="str">
        <f aca="false">LOWER(M683)</f>
        <v>mwc</v>
      </c>
      <c r="W683" s="5" t="str">
        <f aca="false">IF(COUNTIFS($A$2:$A$1001,A683,$C$2:$C$1001,C683)&gt;1,"Duplicate","Unique")</f>
        <v>Unique</v>
      </c>
    </row>
    <row r="684" customFormat="false" ht="15" hidden="false" customHeight="false" outlineLevel="0" collapsed="false">
      <c r="A684" s="2" t="s">
        <v>1806</v>
      </c>
      <c r="B684" s="3" t="n">
        <v>7.2</v>
      </c>
      <c r="C684" s="2" t="s">
        <v>1807</v>
      </c>
      <c r="D684" s="2" t="n">
        <v>7</v>
      </c>
      <c r="E684" s="2" t="n">
        <v>7</v>
      </c>
      <c r="F684" s="2"/>
      <c r="G684" s="2" t="n">
        <v>0</v>
      </c>
      <c r="H684" s="2" t="n">
        <v>1104</v>
      </c>
      <c r="I684" s="2" t="s">
        <v>26</v>
      </c>
      <c r="J684" s="2" t="n">
        <v>698</v>
      </c>
      <c r="K684" s="2" t="n">
        <v>0</v>
      </c>
      <c r="L684" s="2" t="n">
        <v>19.6</v>
      </c>
      <c r="M684" s="2" t="s">
        <v>131</v>
      </c>
      <c r="N684" s="3" t="n">
        <v>36</v>
      </c>
      <c r="O684" s="3" t="n">
        <v>38.276</v>
      </c>
      <c r="P684" s="3" t="n">
        <v>142.039</v>
      </c>
      <c r="Q684" s="3" t="s">
        <v>335</v>
      </c>
      <c r="R684" s="2"/>
      <c r="S684" s="2"/>
      <c r="T684" s="4" t="n">
        <f aca="false">DATE(VALUE(MID(C684,7,4)),VALUE(MID(C684,4,2)),VALUE(MID(C684,1,2)))+TIME(VALUE(MID(C684,12,2)),VALUE(MID(C684,15,2)),0)</f>
        <v>38580.1152777778</v>
      </c>
      <c r="U684" s="2" t="str">
        <f aca="false">IF(AND(ISNUMBER(VALUE(MID(A684,7,1))),ISNUMBER(SEARCH("km",A684)),ISNUMBER(SEARCH("of",A684))),"Distance-location","Named-region")</f>
        <v>Named-region</v>
      </c>
      <c r="V684" s="2" t="str">
        <f aca="false">LOWER(M684)</f>
        <v>mwc</v>
      </c>
      <c r="W684" s="5" t="str">
        <f aca="false">IF(COUNTIFS($A$2:$A$1001,A684,$C$2:$C$1001,C684)&gt;1,"Duplicate","Unique")</f>
        <v>Unique</v>
      </c>
    </row>
    <row r="685" customFormat="false" ht="15" hidden="false" customHeight="false" outlineLevel="0" collapsed="false">
      <c r="A685" s="2" t="s">
        <v>1808</v>
      </c>
      <c r="B685" s="3" t="n">
        <v>7.2</v>
      </c>
      <c r="C685" s="2" t="s">
        <v>1809</v>
      </c>
      <c r="D685" s="2" t="n">
        <v>4</v>
      </c>
      <c r="E685" s="2" t="n">
        <v>5</v>
      </c>
      <c r="F685" s="2"/>
      <c r="G685" s="2" t="n">
        <v>0</v>
      </c>
      <c r="H685" s="2" t="n">
        <v>808</v>
      </c>
      <c r="I685" s="2" t="s">
        <v>26</v>
      </c>
      <c r="J685" s="2" t="n">
        <v>636</v>
      </c>
      <c r="K685" s="2" t="n">
        <v>0</v>
      </c>
      <c r="L685" s="2" t="n">
        <v>26.4</v>
      </c>
      <c r="M685" s="2" t="s">
        <v>131</v>
      </c>
      <c r="N685" s="3" t="n">
        <v>16</v>
      </c>
      <c r="O685" s="3" t="n">
        <v>7.92</v>
      </c>
      <c r="P685" s="3" t="n">
        <v>92.19</v>
      </c>
      <c r="Q685" s="3" t="s">
        <v>894</v>
      </c>
      <c r="R685" s="2"/>
      <c r="S685" s="2"/>
      <c r="T685" s="4" t="n">
        <f aca="false">DATE(VALUE(MID(C685,7,4)),VALUE(MID(C685,4,2)),VALUE(MID(C685,1,2)))+TIME(VALUE(MID(C685,12,2)),VALUE(MID(C685,15,2)),0)</f>
        <v>38557.6541666667</v>
      </c>
      <c r="U685" s="2" t="str">
        <f aca="false">IF(AND(ISNUMBER(VALUE(MID(A685,7,1))),ISNUMBER(SEARCH("km",A685)),ISNUMBER(SEARCH("of",A685))),"Distance-location","Named-region")</f>
        <v>Named-region</v>
      </c>
      <c r="V685" s="2" t="str">
        <f aca="false">LOWER(M685)</f>
        <v>mwc</v>
      </c>
      <c r="W685" s="5" t="str">
        <f aca="false">IF(COUNTIFS($A$2:$A$1001,A685,$C$2:$C$1001,C685)&gt;1,"Duplicate","Unique")</f>
        <v>Unique</v>
      </c>
    </row>
    <row r="686" customFormat="false" ht="15" hidden="false" customHeight="false" outlineLevel="0" collapsed="false">
      <c r="A686" s="2" t="s">
        <v>1810</v>
      </c>
      <c r="B686" s="3" t="n">
        <v>6.7</v>
      </c>
      <c r="C686" s="2" t="s">
        <v>1811</v>
      </c>
      <c r="D686" s="2" t="n">
        <v>3</v>
      </c>
      <c r="E686" s="2" t="n">
        <v>6</v>
      </c>
      <c r="F686" s="2"/>
      <c r="G686" s="2" t="n">
        <v>0</v>
      </c>
      <c r="H686" s="2" t="n">
        <v>693</v>
      </c>
      <c r="I686" s="2" t="s">
        <v>26</v>
      </c>
      <c r="J686" s="2" t="n">
        <v>398</v>
      </c>
      <c r="K686" s="2" t="n">
        <v>0</v>
      </c>
      <c r="L686" s="2" t="n">
        <v>22.3</v>
      </c>
      <c r="M686" s="2" t="s">
        <v>131</v>
      </c>
      <c r="N686" s="3" t="n">
        <v>21</v>
      </c>
      <c r="O686" s="3" t="n">
        <v>1.819</v>
      </c>
      <c r="P686" s="3" t="n">
        <v>97.082</v>
      </c>
      <c r="Q686" s="3" t="s">
        <v>1756</v>
      </c>
      <c r="R686" s="2"/>
      <c r="S686" s="2" t="s">
        <v>72</v>
      </c>
      <c r="T686" s="4" t="n">
        <f aca="false">DATE(VALUE(MID(C686,7,4)),VALUE(MID(C686,4,2)),VALUE(MID(C686,1,2)))+TIME(VALUE(MID(C686,12,2)),VALUE(MID(C686,15,2)),0)</f>
        <v>38538.0777777778</v>
      </c>
      <c r="U686" s="2" t="str">
        <f aca="false">IF(AND(ISNUMBER(VALUE(MID(A686,7,1))),ISNUMBER(SEARCH("km",A686)),ISNUMBER(SEARCH("of",A686))),"Distance-location","Named-region")</f>
        <v>Named-region</v>
      </c>
      <c r="V686" s="2" t="str">
        <f aca="false">LOWER(M686)</f>
        <v>mwc</v>
      </c>
      <c r="W686" s="5" t="str">
        <f aca="false">IF(COUNTIFS($A$2:$A$1001,A686,$C$2:$C$1001,C686)&gt;1,"Duplicate","Unique")</f>
        <v>Unique</v>
      </c>
    </row>
    <row r="687" customFormat="false" ht="15" hidden="false" customHeight="false" outlineLevel="0" collapsed="false">
      <c r="A687" s="2" t="s">
        <v>1812</v>
      </c>
      <c r="B687" s="3" t="n">
        <v>6.6</v>
      </c>
      <c r="C687" s="2" t="s">
        <v>1813</v>
      </c>
      <c r="D687" s="2" t="n">
        <v>6</v>
      </c>
      <c r="E687" s="2" t="n">
        <v>5</v>
      </c>
      <c r="F687" s="2"/>
      <c r="G687" s="2" t="n">
        <v>0</v>
      </c>
      <c r="H687" s="2" t="n">
        <v>719</v>
      </c>
      <c r="I687" s="2" t="s">
        <v>26</v>
      </c>
      <c r="J687" s="2" t="n">
        <v>446</v>
      </c>
      <c r="K687" s="2" t="n">
        <v>0</v>
      </c>
      <c r="L687" s="2" t="n">
        <v>21.1</v>
      </c>
      <c r="M687" s="2" t="s">
        <v>131</v>
      </c>
      <c r="N687" s="3" t="n">
        <v>27</v>
      </c>
      <c r="O687" s="3" t="n">
        <v>11.245</v>
      </c>
      <c r="P687" s="3" t="n">
        <v>-86.172</v>
      </c>
      <c r="Q687" s="3" t="s">
        <v>1814</v>
      </c>
      <c r="R687" s="2"/>
      <c r="S687" s="2"/>
      <c r="T687" s="4" t="n">
        <f aca="false">DATE(VALUE(MID(C687,7,4)),VALUE(MID(C687,4,2)),VALUE(MID(C687,1,2)))+TIME(VALUE(MID(C687,12,2)),VALUE(MID(C687,15,2)),0)</f>
        <v>38535.0944444445</v>
      </c>
      <c r="U687" s="2" t="str">
        <f aca="false">IF(AND(ISNUMBER(VALUE(MID(A687,7,1))),ISNUMBER(SEARCH("km",A687)),ISNUMBER(SEARCH("of",A687))),"Distance-location","Named-region")</f>
        <v>Named-region</v>
      </c>
      <c r="V687" s="2" t="str">
        <f aca="false">LOWER(M687)</f>
        <v>mwc</v>
      </c>
      <c r="W687" s="5" t="str">
        <f aca="false">IF(COUNTIFS($A$2:$A$1001,A687,$C$2:$C$1001,C687)&gt;1,"Duplicate","Unique")</f>
        <v>Unique</v>
      </c>
    </row>
    <row r="688" customFormat="false" ht="15" hidden="false" customHeight="false" outlineLevel="0" collapsed="false">
      <c r="A688" s="2" t="s">
        <v>1815</v>
      </c>
      <c r="B688" s="3" t="n">
        <v>7.2</v>
      </c>
      <c r="C688" s="2" t="s">
        <v>1816</v>
      </c>
      <c r="D688" s="2" t="n">
        <v>5</v>
      </c>
      <c r="E688" s="2" t="n">
        <v>4</v>
      </c>
      <c r="F688" s="2"/>
      <c r="G688" s="2" t="n">
        <v>0</v>
      </c>
      <c r="H688" s="2" t="n">
        <v>1318</v>
      </c>
      <c r="I688" s="2" t="s">
        <v>26</v>
      </c>
      <c r="J688" s="2" t="n">
        <v>420</v>
      </c>
      <c r="K688" s="2" t="n">
        <v>0</v>
      </c>
      <c r="L688" s="2" t="n">
        <v>31.4</v>
      </c>
      <c r="M688" s="2" t="s">
        <v>131</v>
      </c>
      <c r="N688" s="3" t="n">
        <v>16</v>
      </c>
      <c r="O688" s="3" t="n">
        <v>41.292</v>
      </c>
      <c r="P688" s="3" t="n">
        <v>-125.953</v>
      </c>
      <c r="Q688" s="3" t="s">
        <v>1817</v>
      </c>
      <c r="R688" s="2"/>
      <c r="S688" s="2"/>
      <c r="T688" s="4" t="n">
        <f aca="false">DATE(VALUE(MID(C688,7,4)),VALUE(MID(C688,4,2)),VALUE(MID(C688,1,2)))+TIME(VALUE(MID(C688,12,2)),VALUE(MID(C688,15,2)),0)</f>
        <v>38518.1180555556</v>
      </c>
      <c r="U688" s="2" t="str">
        <f aca="false">IF(AND(ISNUMBER(VALUE(MID(A688,7,1))),ISNUMBER(SEARCH("km",A688)),ISNUMBER(SEARCH("of",A688))),"Distance-location","Named-region")</f>
        <v>Named-region</v>
      </c>
      <c r="V688" s="2" t="str">
        <f aca="false">LOWER(M688)</f>
        <v>mwc</v>
      </c>
      <c r="W688" s="5" t="str">
        <f aca="false">IF(COUNTIFS($A$2:$A$1001,A688,$C$2:$C$1001,C688)&gt;1,"Duplicate","Unique")</f>
        <v>Unique</v>
      </c>
    </row>
    <row r="689" customFormat="false" ht="15" hidden="false" customHeight="false" outlineLevel="0" collapsed="false">
      <c r="A689" s="2" t="s">
        <v>1818</v>
      </c>
      <c r="B689" s="3" t="n">
        <v>7.8</v>
      </c>
      <c r="C689" s="2" t="s">
        <v>1819</v>
      </c>
      <c r="D689" s="2" t="n">
        <v>8</v>
      </c>
      <c r="E689" s="2" t="n">
        <v>7</v>
      </c>
      <c r="F689" s="2"/>
      <c r="G689" s="2" t="n">
        <v>0</v>
      </c>
      <c r="H689" s="2" t="n">
        <v>1020</v>
      </c>
      <c r="I689" s="2" t="s">
        <v>26</v>
      </c>
      <c r="J689" s="2" t="n">
        <v>714</v>
      </c>
      <c r="K689" s="2" t="n">
        <v>0</v>
      </c>
      <c r="L689" s="2" t="n">
        <v>16.1</v>
      </c>
      <c r="M689" s="2" t="s">
        <v>158</v>
      </c>
      <c r="N689" s="3" t="n">
        <v>115.6</v>
      </c>
      <c r="O689" s="3" t="n">
        <v>-19.987</v>
      </c>
      <c r="P689" s="3" t="n">
        <v>-69.197</v>
      </c>
      <c r="Q689" s="3" t="s">
        <v>1080</v>
      </c>
      <c r="R689" s="2" t="s">
        <v>37</v>
      </c>
      <c r="S689" s="2" t="s">
        <v>377</v>
      </c>
      <c r="T689" s="4" t="n">
        <f aca="false">DATE(VALUE(MID(C689,7,4)),VALUE(MID(C689,4,2)),VALUE(MID(C689,1,2)))+TIME(VALUE(MID(C689,12,2)),VALUE(MID(C689,15,2)),0)</f>
        <v>38516.9472222222</v>
      </c>
      <c r="U689" s="2" t="str">
        <f aca="false">IF(AND(ISNUMBER(VALUE(MID(A689,7,1))),ISNUMBER(SEARCH("km",A689)),ISNUMBER(SEARCH("of",A689))),"Distance-location","Named-region")</f>
        <v>Named-region</v>
      </c>
      <c r="V689" s="2" t="str">
        <f aca="false">LOWER(M689)</f>
        <v>mwb</v>
      </c>
      <c r="W689" s="5" t="str">
        <f aca="false">IF(COUNTIFS($A$2:$A$1001,A689,$C$2:$C$1001,C689)&gt;1,"Duplicate","Unique")</f>
        <v>Unique</v>
      </c>
    </row>
    <row r="690" customFormat="false" ht="15" hidden="false" customHeight="false" outlineLevel="0" collapsed="false">
      <c r="A690" s="2" t="s">
        <v>1820</v>
      </c>
      <c r="B690" s="3" t="n">
        <v>6.9</v>
      </c>
      <c r="C690" s="2" t="s">
        <v>1821</v>
      </c>
      <c r="D690" s="2" t="n">
        <v>5</v>
      </c>
      <c r="E690" s="2" t="n">
        <v>7</v>
      </c>
      <c r="F690" s="2"/>
      <c r="G690" s="2" t="n">
        <v>0</v>
      </c>
      <c r="H690" s="2" t="n">
        <v>740</v>
      </c>
      <c r="I690" s="2" t="s">
        <v>26</v>
      </c>
      <c r="J690" s="2" t="n">
        <v>635</v>
      </c>
      <c r="K690" s="2" t="n">
        <v>0</v>
      </c>
      <c r="L690" s="2" t="n">
        <v>26</v>
      </c>
      <c r="M690" s="2" t="s">
        <v>131</v>
      </c>
      <c r="N690" s="3" t="n">
        <v>30</v>
      </c>
      <c r="O690" s="3" t="n">
        <v>1.989</v>
      </c>
      <c r="P690" s="3" t="n">
        <v>97.041</v>
      </c>
      <c r="Q690" s="3" t="s">
        <v>1756</v>
      </c>
      <c r="R690" s="2"/>
      <c r="S690" s="2" t="s">
        <v>72</v>
      </c>
      <c r="T690" s="4" t="n">
        <f aca="false">DATE(VALUE(MID(C690,7,4)),VALUE(MID(C690,4,2)),VALUE(MID(C690,1,2)))+TIME(VALUE(MID(C690,12,2)),VALUE(MID(C690,15,2)),0)</f>
        <v>38491.0791666667</v>
      </c>
      <c r="U690" s="2" t="str">
        <f aca="false">IF(AND(ISNUMBER(VALUE(MID(A690,7,1))),ISNUMBER(SEARCH("km",A690)),ISNUMBER(SEARCH("of",A690))),"Distance-location","Named-region")</f>
        <v>Named-region</v>
      </c>
      <c r="V690" s="2" t="str">
        <f aca="false">LOWER(M690)</f>
        <v>mwc</v>
      </c>
      <c r="W690" s="5" t="str">
        <f aca="false">IF(COUNTIFS($A$2:$A$1001,A690,$C$2:$C$1001,C690)&gt;1,"Duplicate","Unique")</f>
        <v>Unique</v>
      </c>
    </row>
    <row r="691" customFormat="false" ht="15" hidden="false" customHeight="false" outlineLevel="0" collapsed="false">
      <c r="A691" s="2" t="s">
        <v>1822</v>
      </c>
      <c r="B691" s="3" t="n">
        <v>6.7</v>
      </c>
      <c r="C691" s="2" t="s">
        <v>1823</v>
      </c>
      <c r="D691" s="2" t="n">
        <v>6</v>
      </c>
      <c r="E691" s="2" t="n">
        <v>5</v>
      </c>
      <c r="F691" s="2"/>
      <c r="G691" s="2" t="n">
        <v>0</v>
      </c>
      <c r="H691" s="2" t="n">
        <v>731</v>
      </c>
      <c r="I691" s="2" t="s">
        <v>26</v>
      </c>
      <c r="J691" s="2" t="n">
        <v>695</v>
      </c>
      <c r="K691" s="2" t="n">
        <v>0</v>
      </c>
      <c r="L691" s="2" t="n">
        <v>20.9</v>
      </c>
      <c r="M691" s="2" t="s">
        <v>158</v>
      </c>
      <c r="N691" s="3" t="n">
        <v>34</v>
      </c>
      <c r="O691" s="3" t="n">
        <v>0.587</v>
      </c>
      <c r="P691" s="3" t="n">
        <v>98.459</v>
      </c>
      <c r="Q691" s="3" t="s">
        <v>1824</v>
      </c>
      <c r="R691" s="2"/>
      <c r="S691" s="2" t="s">
        <v>72</v>
      </c>
      <c r="T691" s="4" t="n">
        <f aca="false">DATE(VALUE(MID(C691,7,4)),VALUE(MID(C691,4,2)),VALUE(MID(C691,1,2)))+TIME(VALUE(MID(C691,12,2)),VALUE(MID(C691,15,2)),0)</f>
        <v>38486.2118055556</v>
      </c>
      <c r="U691" s="2" t="str">
        <f aca="false">IF(AND(ISNUMBER(VALUE(MID(A691,7,1))),ISNUMBER(SEARCH("km",A691)),ISNUMBER(SEARCH("of",A691))),"Distance-location","Named-region")</f>
        <v>Named-region</v>
      </c>
      <c r="V691" s="2" t="str">
        <f aca="false">LOWER(M691)</f>
        <v>mwb</v>
      </c>
      <c r="W691" s="5" t="str">
        <f aca="false">IF(COUNTIFS($A$2:$A$1001,A691,$C$2:$C$1001,C691)&gt;1,"Duplicate","Unique")</f>
        <v>Unique</v>
      </c>
    </row>
    <row r="692" customFormat="false" ht="15" hidden="false" customHeight="false" outlineLevel="0" collapsed="false">
      <c r="A692" s="2" t="s">
        <v>1825</v>
      </c>
      <c r="B692" s="3" t="n">
        <v>6.5</v>
      </c>
      <c r="C692" s="2" t="s">
        <v>1826</v>
      </c>
      <c r="D692" s="2" t="n">
        <v>3</v>
      </c>
      <c r="E692" s="2" t="n">
        <v>6</v>
      </c>
      <c r="F692" s="2"/>
      <c r="G692" s="2" t="n">
        <v>0</v>
      </c>
      <c r="H692" s="2" t="n">
        <v>657</v>
      </c>
      <c r="I692" s="2" t="s">
        <v>26</v>
      </c>
      <c r="J692" s="2" t="n">
        <v>478</v>
      </c>
      <c r="K692" s="2" t="n">
        <v>0</v>
      </c>
      <c r="L692" s="2" t="n">
        <v>21.2</v>
      </c>
      <c r="M692" s="2" t="s">
        <v>131</v>
      </c>
      <c r="N692" s="3" t="n">
        <v>30</v>
      </c>
      <c r="O692" s="3" t="n">
        <v>-1.714</v>
      </c>
      <c r="P692" s="3" t="n">
        <v>99.779</v>
      </c>
      <c r="Q692" s="3" t="s">
        <v>1537</v>
      </c>
      <c r="R692" s="2"/>
      <c r="S692" s="2" t="s">
        <v>72</v>
      </c>
      <c r="T692" s="4" t="n">
        <f aca="false">DATE(VALUE(MID(C692,7,4)),VALUE(MID(C692,4,2)),VALUE(MID(C692,1,2)))+TIME(VALUE(MID(C692,12,2)),VALUE(MID(C692,15,2)),0)</f>
        <v>38452.4680555556</v>
      </c>
      <c r="U692" s="2" t="str">
        <f aca="false">IF(AND(ISNUMBER(VALUE(MID(A692,7,1))),ISNUMBER(SEARCH("km",A692)),ISNUMBER(SEARCH("of",A692))),"Distance-location","Named-region")</f>
        <v>Named-region</v>
      </c>
      <c r="V692" s="2" t="str">
        <f aca="false">LOWER(M692)</f>
        <v>mwc</v>
      </c>
      <c r="W692" s="5" t="str">
        <f aca="false">IF(COUNTIFS($A$2:$A$1001,A692,$C$2:$C$1001,C692)&gt;1,"Duplicate","Unique")</f>
        <v>Unique</v>
      </c>
    </row>
    <row r="693" customFormat="false" ht="15" hidden="false" customHeight="false" outlineLevel="0" collapsed="false">
      <c r="A693" s="2" t="s">
        <v>1827</v>
      </c>
      <c r="B693" s="3" t="n">
        <v>6.7</v>
      </c>
      <c r="C693" s="2" t="s">
        <v>1828</v>
      </c>
      <c r="D693" s="2" t="n">
        <v>5</v>
      </c>
      <c r="E693" s="2" t="n">
        <v>6</v>
      </c>
      <c r="F693" s="2"/>
      <c r="G693" s="2" t="n">
        <v>0</v>
      </c>
      <c r="H693" s="2" t="n">
        <v>717</v>
      </c>
      <c r="I693" s="2" t="s">
        <v>26</v>
      </c>
      <c r="J693" s="2" t="n">
        <v>656</v>
      </c>
      <c r="K693" s="2" t="n">
        <v>0</v>
      </c>
      <c r="L693" s="2" t="n">
        <v>21.2</v>
      </c>
      <c r="M693" s="2" t="s">
        <v>131</v>
      </c>
      <c r="N693" s="3" t="n">
        <v>19</v>
      </c>
      <c r="O693" s="3" t="n">
        <v>-1.644</v>
      </c>
      <c r="P693" s="3" t="n">
        <v>99.607</v>
      </c>
      <c r="Q693" s="3" t="s">
        <v>1537</v>
      </c>
      <c r="R693" s="2"/>
      <c r="S693" s="2" t="s">
        <v>72</v>
      </c>
      <c r="T693" s="4" t="n">
        <f aca="false">DATE(VALUE(MID(C693,7,4)),VALUE(MID(C693,4,2)),VALUE(MID(C693,1,2)))+TIME(VALUE(MID(C693,12,2)),VALUE(MID(C693,15,2)),0)</f>
        <v>38452.4368055556</v>
      </c>
      <c r="U693" s="2" t="str">
        <f aca="false">IF(AND(ISNUMBER(VALUE(MID(A693,7,1))),ISNUMBER(SEARCH("km",A693)),ISNUMBER(SEARCH("of",A693))),"Distance-location","Named-region")</f>
        <v>Named-region</v>
      </c>
      <c r="V693" s="2" t="str">
        <f aca="false">LOWER(M693)</f>
        <v>mwc</v>
      </c>
      <c r="W693" s="5" t="str">
        <f aca="false">IF(COUNTIFS($A$2:$A$1001,A693,$C$2:$C$1001,C693)&gt;1,"Duplicate","Unique")</f>
        <v>Unique</v>
      </c>
    </row>
    <row r="694" customFormat="false" ht="15" hidden="false" customHeight="false" outlineLevel="0" collapsed="false">
      <c r="A694" s="2" t="s">
        <v>1829</v>
      </c>
      <c r="B694" s="3" t="n">
        <v>8.6</v>
      </c>
      <c r="C694" s="2" t="s">
        <v>1830</v>
      </c>
      <c r="D694" s="2" t="n">
        <v>0</v>
      </c>
      <c r="E694" s="2" t="n">
        <v>8</v>
      </c>
      <c r="F694" s="2"/>
      <c r="G694" s="2" t="n">
        <v>0</v>
      </c>
      <c r="H694" s="2" t="n">
        <v>1138</v>
      </c>
      <c r="I694" s="2" t="s">
        <v>1297</v>
      </c>
      <c r="J694" s="2" t="n">
        <v>510</v>
      </c>
      <c r="K694" s="2" t="n">
        <v>0</v>
      </c>
      <c r="L694" s="2" t="n">
        <v>22.1</v>
      </c>
      <c r="M694" s="2" t="s">
        <v>27</v>
      </c>
      <c r="N694" s="3" t="n">
        <v>30</v>
      </c>
      <c r="O694" s="3" t="n">
        <v>2.085</v>
      </c>
      <c r="P694" s="3" t="n">
        <v>97.108</v>
      </c>
      <c r="Q694" s="3" t="s">
        <v>1756</v>
      </c>
      <c r="R694" s="2"/>
      <c r="S694" s="2" t="s">
        <v>72</v>
      </c>
      <c r="T694" s="4" t="n">
        <f aca="false">DATE(VALUE(MID(C694,7,4)),VALUE(MID(C694,4,2)),VALUE(MID(C694,1,2)))+TIME(VALUE(MID(C694,12,2)),VALUE(MID(C694,15,2)),0)</f>
        <v>38439.6729166667</v>
      </c>
      <c r="U694" s="2" t="str">
        <f aca="false">IF(AND(ISNUMBER(VALUE(MID(A694,7,1))),ISNUMBER(SEARCH("km",A694)),ISNUMBER(SEARCH("of",A694))),"Distance-location","Named-region")</f>
        <v>Named-region</v>
      </c>
      <c r="V694" s="2" t="str">
        <f aca="false">LOWER(M694)</f>
        <v>mww</v>
      </c>
      <c r="W694" s="5" t="str">
        <f aca="false">IF(COUNTIFS($A$2:$A$1001,A694,$C$2:$C$1001,C694)&gt;1,"Duplicate","Unique")</f>
        <v>Unique</v>
      </c>
    </row>
    <row r="695" customFormat="false" ht="15" hidden="false" customHeight="false" outlineLevel="0" collapsed="false">
      <c r="A695" s="2" t="s">
        <v>1831</v>
      </c>
      <c r="B695" s="3" t="n">
        <v>6.6</v>
      </c>
      <c r="C695" s="2" t="s">
        <v>1832</v>
      </c>
      <c r="D695" s="2" t="n">
        <v>8</v>
      </c>
      <c r="E695" s="2" t="n">
        <v>7</v>
      </c>
      <c r="F695" s="2"/>
      <c r="G695" s="2" t="n">
        <v>0</v>
      </c>
      <c r="H695" s="2" t="n">
        <v>805</v>
      </c>
      <c r="I695" s="2" t="s">
        <v>26</v>
      </c>
      <c r="J695" s="2" t="n">
        <v>401</v>
      </c>
      <c r="K695" s="2" t="n">
        <v>0</v>
      </c>
      <c r="L695" s="2" t="n">
        <v>22.9</v>
      </c>
      <c r="M695" s="2" t="s">
        <v>131</v>
      </c>
      <c r="N695" s="3" t="n">
        <v>10</v>
      </c>
      <c r="O695" s="3" t="n">
        <v>33.807</v>
      </c>
      <c r="P695" s="3" t="n">
        <v>130.131</v>
      </c>
      <c r="Q695" s="3" t="s">
        <v>1833</v>
      </c>
      <c r="R695" s="2" t="s">
        <v>84</v>
      </c>
      <c r="S695" s="2" t="s">
        <v>326</v>
      </c>
      <c r="T695" s="4" t="n">
        <f aca="false">DATE(VALUE(MID(C695,7,4)),VALUE(MID(C695,4,2)),VALUE(MID(C695,1,2)))+TIME(VALUE(MID(C695,12,2)),VALUE(MID(C695,15,2)),0)</f>
        <v>38431.0784722222</v>
      </c>
      <c r="U695" s="2" t="str">
        <f aca="false">IF(AND(ISNUMBER(VALUE(MID(A695,7,1))),ISNUMBER(SEARCH("km",A695)),ISNUMBER(SEARCH("of",A695))),"Distance-location","Named-region")</f>
        <v>Named-region</v>
      </c>
      <c r="V695" s="2" t="str">
        <f aca="false">LOWER(M695)</f>
        <v>mwc</v>
      </c>
      <c r="W695" s="5" t="str">
        <f aca="false">IF(COUNTIFS($A$2:$A$1001,A695,$C$2:$C$1001,C695)&gt;1,"Duplicate","Unique")</f>
        <v>Unique</v>
      </c>
    </row>
    <row r="696" customFormat="false" ht="15" hidden="false" customHeight="false" outlineLevel="0" collapsed="false">
      <c r="A696" s="2" t="s">
        <v>1236</v>
      </c>
      <c r="B696" s="3" t="n">
        <v>7.1</v>
      </c>
      <c r="C696" s="2" t="s">
        <v>1834</v>
      </c>
      <c r="D696" s="2" t="n">
        <v>0</v>
      </c>
      <c r="E696" s="2" t="n">
        <v>5</v>
      </c>
      <c r="F696" s="2"/>
      <c r="G696" s="2" t="n">
        <v>0</v>
      </c>
      <c r="H696" s="2" t="n">
        <v>776</v>
      </c>
      <c r="I696" s="2" t="s">
        <v>26</v>
      </c>
      <c r="J696" s="2" t="n">
        <v>569</v>
      </c>
      <c r="K696" s="2" t="n">
        <v>0</v>
      </c>
      <c r="L696" s="2" t="n">
        <v>18.1</v>
      </c>
      <c r="M696" s="2" t="s">
        <v>158</v>
      </c>
      <c r="N696" s="3" t="n">
        <v>201.7</v>
      </c>
      <c r="O696" s="3" t="n">
        <v>-6.527</v>
      </c>
      <c r="P696" s="3" t="n">
        <v>129.933</v>
      </c>
      <c r="Q696" s="3" t="s">
        <v>419</v>
      </c>
      <c r="R696" s="2"/>
      <c r="S696" s="2" t="s">
        <v>72</v>
      </c>
      <c r="T696" s="4" t="n">
        <f aca="false">DATE(VALUE(MID(C696,7,4)),VALUE(MID(C696,4,2)),VALUE(MID(C696,1,2)))+TIME(VALUE(MID(C696,12,2)),VALUE(MID(C696,15,2)),0)</f>
        <v>38413.4458333333</v>
      </c>
      <c r="U696" s="2" t="str">
        <f aca="false">IF(AND(ISNUMBER(VALUE(MID(A696,7,1))),ISNUMBER(SEARCH("km",A696)),ISNUMBER(SEARCH("of",A696))),"Distance-location","Named-region")</f>
        <v>Named-region</v>
      </c>
      <c r="V696" s="2" t="str">
        <f aca="false">LOWER(M696)</f>
        <v>mwb</v>
      </c>
      <c r="W696" s="5" t="str">
        <f aca="false">IF(COUNTIFS($A$2:$A$1001,A696,$C$2:$C$1001,C696)&gt;1,"Duplicate","Unique")</f>
        <v>Unique</v>
      </c>
    </row>
    <row r="697" customFormat="false" ht="15" hidden="false" customHeight="false" outlineLevel="0" collapsed="false">
      <c r="A697" s="2" t="s">
        <v>1835</v>
      </c>
      <c r="B697" s="3" t="n">
        <v>6.8</v>
      </c>
      <c r="C697" s="2" t="s">
        <v>1836</v>
      </c>
      <c r="D697" s="2" t="n">
        <v>0</v>
      </c>
      <c r="E697" s="2" t="n">
        <v>6</v>
      </c>
      <c r="F697" s="2"/>
      <c r="G697" s="2" t="n">
        <v>0</v>
      </c>
      <c r="H697" s="2" t="n">
        <v>711</v>
      </c>
      <c r="I697" s="2" t="s">
        <v>26</v>
      </c>
      <c r="J697" s="2" t="n">
        <v>444</v>
      </c>
      <c r="K697" s="2" t="n">
        <v>0</v>
      </c>
      <c r="L697" s="2" t="n">
        <v>33.8</v>
      </c>
      <c r="M697" s="2" t="s">
        <v>158</v>
      </c>
      <c r="N697" s="3" t="n">
        <v>36</v>
      </c>
      <c r="O697" s="3" t="n">
        <v>2.908</v>
      </c>
      <c r="P697" s="3" t="n">
        <v>95.592</v>
      </c>
      <c r="Q697" s="3" t="s">
        <v>321</v>
      </c>
      <c r="R697" s="2"/>
      <c r="S697" s="2" t="s">
        <v>72</v>
      </c>
      <c r="T697" s="4" t="n">
        <f aca="false">DATE(VALUE(MID(C697,7,4)),VALUE(MID(C697,4,2)),VALUE(MID(C697,1,2)))+TIME(VALUE(MID(C697,12,2)),VALUE(MID(C697,15,2)),0)</f>
        <v>38409.5388888889</v>
      </c>
      <c r="U697" s="2" t="str">
        <f aca="false">IF(AND(ISNUMBER(VALUE(MID(A697,7,1))),ISNUMBER(SEARCH("km",A697)),ISNUMBER(SEARCH("of",A697))),"Distance-location","Named-region")</f>
        <v>Named-region</v>
      </c>
      <c r="V697" s="2" t="str">
        <f aca="false">LOWER(M697)</f>
        <v>mwb</v>
      </c>
      <c r="W697" s="5" t="str">
        <f aca="false">IF(COUNTIFS($A$2:$A$1001,A697,$C$2:$C$1001,C697)&gt;1,"Duplicate","Unique")</f>
        <v>Unique</v>
      </c>
    </row>
    <row r="698" customFormat="false" ht="15" hidden="false" customHeight="false" outlineLevel="0" collapsed="false">
      <c r="A698" s="2" t="s">
        <v>1837</v>
      </c>
      <c r="B698" s="3" t="n">
        <v>6.5</v>
      </c>
      <c r="C698" s="2" t="s">
        <v>1838</v>
      </c>
      <c r="D698" s="2" t="n">
        <v>0</v>
      </c>
      <c r="E698" s="2" t="n">
        <v>7</v>
      </c>
      <c r="F698" s="2"/>
      <c r="G698" s="2" t="n">
        <v>0</v>
      </c>
      <c r="H698" s="2" t="n">
        <v>650</v>
      </c>
      <c r="I698" s="2" t="s">
        <v>26</v>
      </c>
      <c r="J698" s="2" t="n">
        <v>371</v>
      </c>
      <c r="K698" s="2" t="n">
        <v>0</v>
      </c>
      <c r="L698" s="2" t="n">
        <v>31.8</v>
      </c>
      <c r="M698" s="2" t="s">
        <v>158</v>
      </c>
      <c r="N698" s="3" t="n">
        <v>10</v>
      </c>
      <c r="O698" s="3" t="n">
        <v>-5.562</v>
      </c>
      <c r="P698" s="3" t="n">
        <v>122.129</v>
      </c>
      <c r="Q698" s="3" t="s">
        <v>382</v>
      </c>
      <c r="R698" s="2"/>
      <c r="S698" s="2" t="s">
        <v>72</v>
      </c>
      <c r="T698" s="4" t="n">
        <f aca="false">DATE(VALUE(MID(C698,7,4)),VALUE(MID(C698,4,2)),VALUE(MID(C698,1,2)))+TIME(VALUE(MID(C698,12,2)),VALUE(MID(C698,15,2)),0)</f>
        <v>38402.0027777778</v>
      </c>
      <c r="U698" s="2" t="str">
        <f aca="false">IF(AND(ISNUMBER(VALUE(MID(A698,7,1))),ISNUMBER(SEARCH("km",A698)),ISNUMBER(SEARCH("of",A698))),"Distance-location","Named-region")</f>
        <v>Named-region</v>
      </c>
      <c r="V698" s="2" t="str">
        <f aca="false">LOWER(M698)</f>
        <v>mwb</v>
      </c>
      <c r="W698" s="5" t="str">
        <f aca="false">IF(COUNTIFS($A$2:$A$1001,A698,$C$2:$C$1001,C698)&gt;1,"Duplicate","Unique")</f>
        <v>Unique</v>
      </c>
    </row>
    <row r="699" customFormat="false" ht="15" hidden="false" customHeight="false" outlineLevel="0" collapsed="false">
      <c r="A699" s="2" t="s">
        <v>1839</v>
      </c>
      <c r="B699" s="3" t="n">
        <v>6.5</v>
      </c>
      <c r="C699" s="2" t="s">
        <v>1840</v>
      </c>
      <c r="D699" s="2" t="n">
        <v>3</v>
      </c>
      <c r="E699" s="2" t="n">
        <v>5</v>
      </c>
      <c r="F699" s="2"/>
      <c r="G699" s="2" t="n">
        <v>0</v>
      </c>
      <c r="H699" s="2" t="n">
        <v>652</v>
      </c>
      <c r="I699" s="2" t="s">
        <v>26</v>
      </c>
      <c r="J699" s="2" t="n">
        <v>286</v>
      </c>
      <c r="K699" s="2" t="n">
        <v>0</v>
      </c>
      <c r="L699" s="2" t="n">
        <v>47.3</v>
      </c>
      <c r="M699" s="2" t="s">
        <v>131</v>
      </c>
      <c r="N699" s="3" t="n">
        <v>39.7</v>
      </c>
      <c r="O699" s="3" t="n">
        <v>4.756</v>
      </c>
      <c r="P699" s="3" t="n">
        <v>126.421</v>
      </c>
      <c r="Q699" s="3" t="s">
        <v>1841</v>
      </c>
      <c r="R699" s="2"/>
      <c r="S699" s="2" t="s">
        <v>72</v>
      </c>
      <c r="T699" s="4" t="n">
        <f aca="false">DATE(VALUE(MID(C699,7,4)),VALUE(MID(C699,4,2)),VALUE(MID(C699,1,2)))+TIME(VALUE(MID(C699,12,2)),VALUE(MID(C699,15,2)),0)</f>
        <v>38398.6125</v>
      </c>
      <c r="U699" s="2" t="str">
        <f aca="false">IF(AND(ISNUMBER(VALUE(MID(A699,7,1))),ISNUMBER(SEARCH("km",A699)),ISNUMBER(SEARCH("of",A699))),"Distance-location","Named-region")</f>
        <v>Named-region</v>
      </c>
      <c r="V699" s="2" t="str">
        <f aca="false">LOWER(M699)</f>
        <v>mwc</v>
      </c>
      <c r="W699" s="5" t="str">
        <f aca="false">IF(COUNTIFS($A$2:$A$1001,A699,$C$2:$C$1001,C699)&gt;1,"Duplicate","Unique")</f>
        <v>Unique</v>
      </c>
    </row>
    <row r="700" customFormat="false" ht="15" hidden="false" customHeight="false" outlineLevel="0" collapsed="false">
      <c r="A700" s="2" t="s">
        <v>1842</v>
      </c>
      <c r="B700" s="3" t="n">
        <v>6.7</v>
      </c>
      <c r="C700" s="2" t="s">
        <v>1843</v>
      </c>
      <c r="D700" s="2" t="n">
        <v>0</v>
      </c>
      <c r="E700" s="2" t="n">
        <v>4</v>
      </c>
      <c r="F700" s="2"/>
      <c r="G700" s="2" t="n">
        <v>0</v>
      </c>
      <c r="H700" s="2" t="n">
        <v>691</v>
      </c>
      <c r="I700" s="2" t="s">
        <v>26</v>
      </c>
      <c r="J700" s="2" t="n">
        <v>457</v>
      </c>
      <c r="K700" s="2" t="n">
        <v>0</v>
      </c>
      <c r="L700" s="2" t="n">
        <v>30.2</v>
      </c>
      <c r="M700" s="2" t="s">
        <v>158</v>
      </c>
      <c r="N700" s="3" t="n">
        <v>206.3</v>
      </c>
      <c r="O700" s="3" t="n">
        <v>-14.252</v>
      </c>
      <c r="P700" s="3" t="n">
        <v>167.259</v>
      </c>
      <c r="Q700" s="3" t="s">
        <v>28</v>
      </c>
      <c r="R700" s="2"/>
      <c r="S700" s="2" t="s">
        <v>29</v>
      </c>
      <c r="T700" s="4" t="n">
        <f aca="false">DATE(VALUE(MID(C700,7,4)),VALUE(MID(C700,4,2)),VALUE(MID(C700,1,2)))+TIME(VALUE(MID(C700,12,2)),VALUE(MID(C700,15,2)),0)</f>
        <v>38391.6166666667</v>
      </c>
      <c r="U700" s="2" t="str">
        <f aca="false">IF(AND(ISNUMBER(VALUE(MID(A700,7,1))),ISNUMBER(SEARCH("km",A700)),ISNUMBER(SEARCH("of",A700))),"Distance-location","Named-region")</f>
        <v>Named-region</v>
      </c>
      <c r="V700" s="2" t="str">
        <f aca="false">LOWER(M700)</f>
        <v>mwb</v>
      </c>
      <c r="W700" s="5" t="str">
        <f aca="false">IF(COUNTIFS($A$2:$A$1001,A700,$C$2:$C$1001,C700)&gt;1,"Duplicate","Unique")</f>
        <v>Unique</v>
      </c>
    </row>
    <row r="701" customFormat="false" ht="15" hidden="false" customHeight="false" outlineLevel="0" collapsed="false">
      <c r="A701" s="2" t="s">
        <v>1844</v>
      </c>
      <c r="B701" s="3" t="n">
        <v>7.1</v>
      </c>
      <c r="C701" s="2" t="s">
        <v>1845</v>
      </c>
      <c r="D701" s="2" t="n">
        <v>7</v>
      </c>
      <c r="E701" s="2" t="n">
        <v>3</v>
      </c>
      <c r="F701" s="2"/>
      <c r="G701" s="2" t="n">
        <v>0</v>
      </c>
      <c r="H701" s="2" t="n">
        <v>782</v>
      </c>
      <c r="I701" s="2" t="s">
        <v>26</v>
      </c>
      <c r="J701" s="2" t="n">
        <v>640</v>
      </c>
      <c r="K701" s="2" t="n">
        <v>0</v>
      </c>
      <c r="L701" s="2" t="n">
        <v>26.4</v>
      </c>
      <c r="M701" s="2" t="s">
        <v>131</v>
      </c>
      <c r="N701" s="3" t="n">
        <v>525</v>
      </c>
      <c r="O701" s="3" t="n">
        <v>5.293</v>
      </c>
      <c r="P701" s="3" t="n">
        <v>123.337</v>
      </c>
      <c r="Q701" s="3" t="s">
        <v>1846</v>
      </c>
      <c r="R701" s="2"/>
      <c r="S701" s="2"/>
      <c r="T701" s="4" t="n">
        <f aca="false">DATE(VALUE(MID(C701,7,4)),VALUE(MID(C701,4,2)),VALUE(MID(C701,1,2)))+TIME(VALUE(MID(C701,12,2)),VALUE(MID(C701,15,2)),0)</f>
        <v>38388.5159722222</v>
      </c>
      <c r="U701" s="2" t="str">
        <f aca="false">IF(AND(ISNUMBER(VALUE(MID(A701,7,1))),ISNUMBER(SEARCH("km",A701)),ISNUMBER(SEARCH("of",A701))),"Distance-location","Named-region")</f>
        <v>Named-region</v>
      </c>
      <c r="V701" s="2" t="str">
        <f aca="false">LOWER(M701)</f>
        <v>mwc</v>
      </c>
      <c r="W701" s="5" t="str">
        <f aca="false">IF(COUNTIFS($A$2:$A$1001,A701,$C$2:$C$1001,C701)&gt;1,"Duplicate","Unique")</f>
        <v>Unique</v>
      </c>
    </row>
    <row r="702" customFormat="false" ht="15" hidden="false" customHeight="false" outlineLevel="0" collapsed="false">
      <c r="A702" s="2" t="s">
        <v>1847</v>
      </c>
      <c r="B702" s="3" t="n">
        <v>6.6</v>
      </c>
      <c r="C702" s="2" t="s">
        <v>1848</v>
      </c>
      <c r="D702" s="2" t="n">
        <v>6</v>
      </c>
      <c r="E702" s="2" t="n">
        <v>4</v>
      </c>
      <c r="F702" s="2"/>
      <c r="G702" s="2" t="n">
        <v>0</v>
      </c>
      <c r="H702" s="2" t="n">
        <v>676</v>
      </c>
      <c r="I702" s="2" t="s">
        <v>26</v>
      </c>
      <c r="J702" s="2" t="n">
        <v>225</v>
      </c>
      <c r="K702" s="2" t="n">
        <v>0</v>
      </c>
      <c r="L702" s="2" t="n">
        <v>78.5</v>
      </c>
      <c r="M702" s="2" t="s">
        <v>131</v>
      </c>
      <c r="N702" s="3" t="n">
        <v>27.8</v>
      </c>
      <c r="O702" s="3" t="n">
        <v>34.064</v>
      </c>
      <c r="P702" s="3" t="n">
        <v>141.491</v>
      </c>
      <c r="Q702" s="3" t="s">
        <v>1849</v>
      </c>
      <c r="R702" s="2"/>
      <c r="S702" s="2"/>
      <c r="T702" s="4" t="n">
        <f aca="false">DATE(VALUE(MID(C702,7,4)),VALUE(MID(C702,4,2)),VALUE(MID(C702,1,2)))+TIME(VALUE(MID(C702,12,2)),VALUE(MID(C702,15,2)),0)</f>
        <v>38371.2576388889</v>
      </c>
      <c r="U702" s="2" t="str">
        <f aca="false">IF(AND(ISNUMBER(VALUE(MID(A702,7,1))),ISNUMBER(SEARCH("km",A702)),ISNUMBER(SEARCH("of",A702))),"Distance-location","Named-region")</f>
        <v>Named-region</v>
      </c>
      <c r="V702" s="2" t="str">
        <f aca="false">LOWER(M702)</f>
        <v>mwc</v>
      </c>
      <c r="W702" s="5" t="str">
        <f aca="false">IF(COUNTIFS($A$2:$A$1001,A702,$C$2:$C$1001,C702)&gt;1,"Duplicate","Unique")</f>
        <v>Unique</v>
      </c>
    </row>
    <row r="703" customFormat="false" ht="15" hidden="false" customHeight="false" outlineLevel="0" collapsed="false">
      <c r="A703" s="2" t="s">
        <v>892</v>
      </c>
      <c r="B703" s="3" t="n">
        <v>6.6</v>
      </c>
      <c r="C703" s="2" t="s">
        <v>1850</v>
      </c>
      <c r="D703" s="2" t="n">
        <v>0</v>
      </c>
      <c r="E703" s="2" t="n">
        <v>5</v>
      </c>
      <c r="F703" s="2"/>
      <c r="G703" s="2" t="n">
        <v>0</v>
      </c>
      <c r="H703" s="2" t="n">
        <v>670</v>
      </c>
      <c r="I703" s="2" t="s">
        <v>26</v>
      </c>
      <c r="J703" s="2" t="n">
        <v>353</v>
      </c>
      <c r="K703" s="2" t="n">
        <v>0</v>
      </c>
      <c r="L703" s="2" t="n">
        <v>31.9</v>
      </c>
      <c r="M703" s="2" t="s">
        <v>131</v>
      </c>
      <c r="N703" s="3" t="n">
        <v>16.1</v>
      </c>
      <c r="O703" s="3" t="n">
        <v>8.879</v>
      </c>
      <c r="P703" s="3" t="n">
        <v>92.375</v>
      </c>
      <c r="Q703" s="3" t="s">
        <v>894</v>
      </c>
      <c r="R703" s="2"/>
      <c r="S703" s="2"/>
      <c r="T703" s="4" t="n">
        <f aca="false">DATE(VALUE(MID(C703,7,4)),VALUE(MID(C703,4,2)),VALUE(MID(C703,1,2)))+TIME(VALUE(MID(C703,12,2)),VALUE(MID(C703,15,2)),0)</f>
        <v>38347.3888888889</v>
      </c>
      <c r="U703" s="2" t="str">
        <f aca="false">IF(AND(ISNUMBER(VALUE(MID(A703,7,1))),ISNUMBER(SEARCH("km",A703)),ISNUMBER(SEARCH("of",A703))),"Distance-location","Named-region")</f>
        <v>Named-region</v>
      </c>
      <c r="V703" s="2" t="str">
        <f aca="false">LOWER(M703)</f>
        <v>mwc</v>
      </c>
      <c r="W703" s="5" t="str">
        <f aca="false">IF(COUNTIFS($A$2:$A$1001,A703,$C$2:$C$1001,C703)&gt;1,"Duplicate","Unique")</f>
        <v>Unique</v>
      </c>
    </row>
    <row r="704" customFormat="false" ht="15" hidden="false" customHeight="false" outlineLevel="0" collapsed="false">
      <c r="A704" s="2" t="s">
        <v>1851</v>
      </c>
      <c r="B704" s="3" t="n">
        <v>7.2</v>
      </c>
      <c r="C704" s="2" t="s">
        <v>1852</v>
      </c>
      <c r="D704" s="2" t="n">
        <v>5</v>
      </c>
      <c r="E704" s="2" t="n">
        <v>6</v>
      </c>
      <c r="F704" s="2"/>
      <c r="G704" s="2" t="n">
        <v>0</v>
      </c>
      <c r="H704" s="2" t="n">
        <v>802</v>
      </c>
      <c r="I704" s="2" t="s">
        <v>26</v>
      </c>
      <c r="J704" s="2" t="n">
        <v>385</v>
      </c>
      <c r="K704" s="2" t="n">
        <v>0</v>
      </c>
      <c r="L704" s="2" t="n">
        <v>27.9</v>
      </c>
      <c r="M704" s="2" t="s">
        <v>131</v>
      </c>
      <c r="N704" s="3" t="n">
        <v>39.2</v>
      </c>
      <c r="O704" s="3" t="n">
        <v>6.91</v>
      </c>
      <c r="P704" s="3" t="n">
        <v>92.958</v>
      </c>
      <c r="Q704" s="3" t="s">
        <v>1853</v>
      </c>
      <c r="R704" s="2"/>
      <c r="S704" s="2"/>
      <c r="T704" s="4" t="n">
        <f aca="false">DATE(VALUE(MID(C704,7,4)),VALUE(MID(C704,4,2)),VALUE(MID(C704,1,2)))+TIME(VALUE(MID(C704,12,2)),VALUE(MID(C704,15,2)),0)</f>
        <v>38347.18125</v>
      </c>
      <c r="U704" s="2" t="str">
        <f aca="false">IF(AND(ISNUMBER(VALUE(MID(A704,7,1))),ISNUMBER(SEARCH("km",A704)),ISNUMBER(SEARCH("of",A704))),"Distance-location","Named-region")</f>
        <v>Named-region</v>
      </c>
      <c r="V704" s="2" t="str">
        <f aca="false">LOWER(M704)</f>
        <v>mwc</v>
      </c>
      <c r="W704" s="5" t="str">
        <f aca="false">IF(COUNTIFS($A$2:$A$1001,A704,$C$2:$C$1001,C704)&gt;1,"Duplicate","Unique")</f>
        <v>Unique</v>
      </c>
    </row>
    <row r="705" customFormat="false" ht="28.35" hidden="false" customHeight="false" outlineLevel="0" collapsed="false">
      <c r="A705" s="2" t="s">
        <v>1854</v>
      </c>
      <c r="B705" s="3" t="n">
        <v>9.1</v>
      </c>
      <c r="C705" s="2" t="s">
        <v>1855</v>
      </c>
      <c r="D705" s="2" t="n">
        <v>0</v>
      </c>
      <c r="E705" s="2" t="n">
        <v>8</v>
      </c>
      <c r="F705" s="2"/>
      <c r="G705" s="2" t="n">
        <v>0</v>
      </c>
      <c r="H705" s="2" t="n">
        <v>1274</v>
      </c>
      <c r="I705" s="2" t="s">
        <v>1297</v>
      </c>
      <c r="J705" s="2" t="n">
        <v>601</v>
      </c>
      <c r="K705" s="2" t="n">
        <v>0</v>
      </c>
      <c r="L705" s="2" t="n">
        <v>22</v>
      </c>
      <c r="M705" s="2" t="s">
        <v>489</v>
      </c>
      <c r="N705" s="3" t="n">
        <v>30</v>
      </c>
      <c r="O705" s="3" t="n">
        <v>3.295</v>
      </c>
      <c r="P705" s="3" t="n">
        <v>95.982</v>
      </c>
      <c r="Q705" s="3" t="s">
        <v>1856</v>
      </c>
      <c r="R705" s="2"/>
      <c r="S705" s="2" t="s">
        <v>72</v>
      </c>
      <c r="T705" s="4" t="n">
        <f aca="false">DATE(VALUE(MID(C705,7,4)),VALUE(MID(C705,4,2)),VALUE(MID(C705,1,2)))+TIME(VALUE(MID(C705,12,2)),VALUE(MID(C705,15,2)),0)</f>
        <v>38347.0402777778</v>
      </c>
      <c r="U705" s="2" t="str">
        <f aca="false">IF(AND(ISNUMBER(VALUE(MID(A705,7,1))),ISNUMBER(SEARCH("km",A705)),ISNUMBER(SEARCH("of",A705))),"Distance-location","Named-region")</f>
        <v>Named-region</v>
      </c>
      <c r="V705" s="2" t="str">
        <f aca="false">LOWER(M705)</f>
        <v>mw</v>
      </c>
      <c r="W705" s="5" t="str">
        <f aca="false">IF(COUNTIFS($A$2:$A$1001,A705,$C$2:$C$1001,C705)&gt;1,"Duplicate","Unique")</f>
        <v>Unique</v>
      </c>
    </row>
    <row r="706" customFormat="false" ht="15" hidden="false" customHeight="false" outlineLevel="0" collapsed="false">
      <c r="A706" s="2" t="s">
        <v>1857</v>
      </c>
      <c r="B706" s="3" t="n">
        <v>8.1</v>
      </c>
      <c r="C706" s="2" t="s">
        <v>1858</v>
      </c>
      <c r="D706" s="2" t="n">
        <v>0</v>
      </c>
      <c r="E706" s="2" t="n">
        <v>5</v>
      </c>
      <c r="F706" s="2"/>
      <c r="G706" s="2" t="n">
        <v>0</v>
      </c>
      <c r="H706" s="2" t="n">
        <v>1009</v>
      </c>
      <c r="I706" s="2" t="s">
        <v>26</v>
      </c>
      <c r="J706" s="2" t="n">
        <v>331</v>
      </c>
      <c r="K706" s="2" t="n">
        <v>0</v>
      </c>
      <c r="L706" s="2" t="n">
        <v>59.3</v>
      </c>
      <c r="M706" s="2" t="s">
        <v>131</v>
      </c>
      <c r="N706" s="3" t="n">
        <v>10</v>
      </c>
      <c r="O706" s="3" t="n">
        <v>-49.312</v>
      </c>
      <c r="P706" s="3" t="n">
        <v>161.345</v>
      </c>
      <c r="Q706" s="3" t="s">
        <v>1859</v>
      </c>
      <c r="R706" s="2"/>
      <c r="S706" s="2"/>
      <c r="T706" s="4" t="n">
        <f aca="false">DATE(VALUE(MID(C706,7,4)),VALUE(MID(C706,4,2)),VALUE(MID(C706,1,2)))+TIME(VALUE(MID(C706,12,2)),VALUE(MID(C706,15,2)),0)</f>
        <v>38344.6243055556</v>
      </c>
      <c r="U706" s="2" t="str">
        <f aca="false">IF(AND(ISNUMBER(VALUE(MID(A706,7,1))),ISNUMBER(SEARCH("km",A706)),ISNUMBER(SEARCH("of",A706))),"Distance-location","Named-region")</f>
        <v>Named-region</v>
      </c>
      <c r="V706" s="2" t="str">
        <f aca="false">LOWER(M706)</f>
        <v>mwc</v>
      </c>
      <c r="W706" s="5" t="str">
        <f aca="false">IF(COUNTIFS($A$2:$A$1001,A706,$C$2:$C$1001,C706)&gt;1,"Duplicate","Unique")</f>
        <v>Unique</v>
      </c>
    </row>
    <row r="707" customFormat="false" ht="15" hidden="false" customHeight="false" outlineLevel="0" collapsed="false">
      <c r="A707" s="2" t="s">
        <v>1860</v>
      </c>
      <c r="B707" s="3" t="n">
        <v>6.8</v>
      </c>
      <c r="C707" s="2" t="s">
        <v>1861</v>
      </c>
      <c r="D707" s="2" t="n">
        <v>5</v>
      </c>
      <c r="E707" s="2" t="n">
        <v>6</v>
      </c>
      <c r="F707" s="2"/>
      <c r="G707" s="2" t="n">
        <v>0</v>
      </c>
      <c r="H707" s="2" t="n">
        <v>858</v>
      </c>
      <c r="I707" s="2" t="s">
        <v>26</v>
      </c>
      <c r="J707" s="2" t="n">
        <v>639</v>
      </c>
      <c r="K707" s="2" t="n">
        <v>0</v>
      </c>
      <c r="L707" s="2" t="n">
        <v>21.8</v>
      </c>
      <c r="M707" s="2" t="s">
        <v>158</v>
      </c>
      <c r="N707" s="3" t="n">
        <v>10</v>
      </c>
      <c r="O707" s="3" t="n">
        <v>18.958</v>
      </c>
      <c r="P707" s="3" t="n">
        <v>-81.409</v>
      </c>
      <c r="Q707" s="3" t="s">
        <v>1862</v>
      </c>
      <c r="R707" s="2"/>
      <c r="S707" s="2"/>
      <c r="T707" s="4" t="n">
        <f aca="false">DATE(VALUE(MID(C707,7,4)),VALUE(MID(C707,4,2)),VALUE(MID(C707,1,2)))+TIME(VALUE(MID(C707,12,2)),VALUE(MID(C707,15,2)),0)</f>
        <v>38335.9722222222</v>
      </c>
      <c r="U707" s="2" t="str">
        <f aca="false">IF(AND(ISNUMBER(VALUE(MID(A707,7,1))),ISNUMBER(SEARCH("km",A707)),ISNUMBER(SEARCH("of",A707))),"Distance-location","Named-region")</f>
        <v>Named-region</v>
      </c>
      <c r="V707" s="2" t="str">
        <f aca="false">LOWER(M707)</f>
        <v>mwb</v>
      </c>
      <c r="W707" s="5" t="str">
        <f aca="false">IF(COUNTIFS($A$2:$A$1001,A707,$C$2:$C$1001,C707)&gt;1,"Duplicate","Unique")</f>
        <v>Unique</v>
      </c>
    </row>
    <row r="708" customFormat="false" ht="15" hidden="false" customHeight="false" outlineLevel="0" collapsed="false">
      <c r="A708" s="2" t="s">
        <v>1863</v>
      </c>
      <c r="B708" s="3" t="n">
        <v>6.8</v>
      </c>
      <c r="C708" s="2" t="s">
        <v>1864</v>
      </c>
      <c r="D708" s="2" t="n">
        <v>4</v>
      </c>
      <c r="E708" s="2" t="n">
        <v>7</v>
      </c>
      <c r="F708" s="2"/>
      <c r="G708" s="2" t="n">
        <v>0</v>
      </c>
      <c r="H708" s="2" t="n">
        <v>724</v>
      </c>
      <c r="I708" s="2" t="s">
        <v>26</v>
      </c>
      <c r="J708" s="2" t="n">
        <v>759</v>
      </c>
      <c r="K708" s="2" t="n">
        <v>0</v>
      </c>
      <c r="L708" s="2" t="n">
        <v>23.6</v>
      </c>
      <c r="M708" s="2" t="s">
        <v>158</v>
      </c>
      <c r="N708" s="3" t="n">
        <v>35</v>
      </c>
      <c r="O708" s="3" t="n">
        <v>42.9</v>
      </c>
      <c r="P708" s="3" t="n">
        <v>145.228</v>
      </c>
      <c r="Q708" s="3" t="s">
        <v>1865</v>
      </c>
      <c r="R708" s="2" t="s">
        <v>84</v>
      </c>
      <c r="S708" s="2" t="s">
        <v>326</v>
      </c>
      <c r="T708" s="4" t="n">
        <f aca="false">DATE(VALUE(MID(C708,7,4)),VALUE(MID(C708,4,2)),VALUE(MID(C708,1,2)))+TIME(VALUE(MID(C708,12,2)),VALUE(MID(C708,15,2)),0)</f>
        <v>38327.59375</v>
      </c>
      <c r="U708" s="2" t="str">
        <f aca="false">IF(AND(ISNUMBER(VALUE(MID(A708,7,1))),ISNUMBER(SEARCH("km",A708)),ISNUMBER(SEARCH("of",A708))),"Distance-location","Named-region")</f>
        <v>Named-region</v>
      </c>
      <c r="V708" s="2" t="str">
        <f aca="false">LOWER(M708)</f>
        <v>mwb</v>
      </c>
      <c r="W708" s="5" t="str">
        <f aca="false">IF(COUNTIFS($A$2:$A$1001,A708,$C$2:$C$1001,C708)&gt;1,"Duplicate","Unique")</f>
        <v>Unique</v>
      </c>
    </row>
    <row r="709" customFormat="false" ht="15" hidden="false" customHeight="false" outlineLevel="0" collapsed="false">
      <c r="A709" s="2" t="s">
        <v>1866</v>
      </c>
      <c r="B709" s="3" t="n">
        <v>7</v>
      </c>
      <c r="C709" s="2" t="s">
        <v>1867</v>
      </c>
      <c r="D709" s="2" t="n">
        <v>4</v>
      </c>
      <c r="E709" s="2" t="n">
        <v>7</v>
      </c>
      <c r="F709" s="2"/>
      <c r="G709" s="2" t="n">
        <v>0</v>
      </c>
      <c r="H709" s="2" t="n">
        <v>771</v>
      </c>
      <c r="I709" s="2" t="s">
        <v>26</v>
      </c>
      <c r="J709" s="2" t="n">
        <v>929</v>
      </c>
      <c r="K709" s="2" t="n">
        <v>0</v>
      </c>
      <c r="L709" s="2" t="n">
        <v>23.9</v>
      </c>
      <c r="M709" s="2" t="s">
        <v>158</v>
      </c>
      <c r="N709" s="3" t="n">
        <v>39</v>
      </c>
      <c r="O709" s="3" t="n">
        <v>43.006</v>
      </c>
      <c r="P709" s="3" t="n">
        <v>145.119</v>
      </c>
      <c r="Q709" s="3" t="s">
        <v>1865</v>
      </c>
      <c r="R709" s="2" t="s">
        <v>84</v>
      </c>
      <c r="S709" s="2" t="s">
        <v>326</v>
      </c>
      <c r="T709" s="4" t="n">
        <f aca="false">DATE(VALUE(MID(C709,7,4)),VALUE(MID(C709,4,2)),VALUE(MID(C709,1,2)))+TIME(VALUE(MID(C709,12,2)),VALUE(MID(C709,15,2)),0)</f>
        <v>38319.7722222222</v>
      </c>
      <c r="U709" s="2" t="str">
        <f aca="false">IF(AND(ISNUMBER(VALUE(MID(A709,7,1))),ISNUMBER(SEARCH("km",A709)),ISNUMBER(SEARCH("of",A709))),"Distance-location","Named-region")</f>
        <v>Named-region</v>
      </c>
      <c r="V709" s="2" t="str">
        <f aca="false">LOWER(M709)</f>
        <v>mwb</v>
      </c>
      <c r="W709" s="5" t="str">
        <f aca="false">IF(COUNTIFS($A$2:$A$1001,A709,$C$2:$C$1001,C709)&gt;1,"Duplicate","Unique")</f>
        <v>Unique</v>
      </c>
    </row>
    <row r="710" customFormat="false" ht="15" hidden="false" customHeight="false" outlineLevel="0" collapsed="false">
      <c r="A710" s="2" t="s">
        <v>1868</v>
      </c>
      <c r="B710" s="3" t="n">
        <v>7.1</v>
      </c>
      <c r="C710" s="2" t="s">
        <v>1869</v>
      </c>
      <c r="D710" s="2" t="n">
        <v>0</v>
      </c>
      <c r="E710" s="2" t="n">
        <v>7</v>
      </c>
      <c r="F710" s="2"/>
      <c r="G710" s="2" t="n">
        <v>0</v>
      </c>
      <c r="H710" s="2" t="n">
        <v>776</v>
      </c>
      <c r="I710" s="2" t="s">
        <v>26</v>
      </c>
      <c r="J710" s="2" t="n">
        <v>439</v>
      </c>
      <c r="K710" s="2" t="n">
        <v>0</v>
      </c>
      <c r="L710" s="2" t="n">
        <v>28.8</v>
      </c>
      <c r="M710" s="2" t="s">
        <v>131</v>
      </c>
      <c r="N710" s="3" t="n">
        <v>10</v>
      </c>
      <c r="O710" s="3" t="n">
        <v>-3.609</v>
      </c>
      <c r="P710" s="3" t="n">
        <v>135.404</v>
      </c>
      <c r="Q710" s="3" t="s">
        <v>1870</v>
      </c>
      <c r="R710" s="2"/>
      <c r="S710" s="2" t="s">
        <v>72</v>
      </c>
      <c r="T710" s="4" t="n">
        <f aca="false">DATE(VALUE(MID(C710,7,4)),VALUE(MID(C710,4,2)),VALUE(MID(C710,1,2)))+TIME(VALUE(MID(C710,12,2)),VALUE(MID(C710,15,2)),0)</f>
        <v>38317.1006944444</v>
      </c>
      <c r="U710" s="2" t="str">
        <f aca="false">IF(AND(ISNUMBER(VALUE(MID(A710,7,1))),ISNUMBER(SEARCH("km",A710)),ISNUMBER(SEARCH("of",A710))),"Distance-location","Named-region")</f>
        <v>Named-region</v>
      </c>
      <c r="V710" s="2" t="str">
        <f aca="false">LOWER(M710)</f>
        <v>mwc</v>
      </c>
      <c r="W710" s="5" t="str">
        <f aca="false">IF(COUNTIFS($A$2:$A$1001,A710,$C$2:$C$1001,C710)&gt;1,"Duplicate","Unique")</f>
        <v>Unique</v>
      </c>
    </row>
    <row r="711" customFormat="false" ht="15" hidden="false" customHeight="false" outlineLevel="0" collapsed="false">
      <c r="A711" s="2" t="s">
        <v>1871</v>
      </c>
      <c r="B711" s="3" t="n">
        <v>7.1</v>
      </c>
      <c r="C711" s="2" t="s">
        <v>1872</v>
      </c>
      <c r="D711" s="2" t="n">
        <v>5</v>
      </c>
      <c r="E711" s="2" t="n">
        <v>5</v>
      </c>
      <c r="F711" s="2"/>
      <c r="G711" s="2" t="n">
        <v>0</v>
      </c>
      <c r="H711" s="2" t="n">
        <v>782</v>
      </c>
      <c r="I711" s="2" t="s">
        <v>26</v>
      </c>
      <c r="J711" s="2" t="n">
        <v>585</v>
      </c>
      <c r="K711" s="2" t="n">
        <v>0</v>
      </c>
      <c r="L711" s="2" t="n">
        <v>14.7</v>
      </c>
      <c r="M711" s="2" t="s">
        <v>131</v>
      </c>
      <c r="N711" s="3" t="n">
        <v>10</v>
      </c>
      <c r="O711" s="3" t="n">
        <v>-46.676</v>
      </c>
      <c r="P711" s="3" t="n">
        <v>164.721</v>
      </c>
      <c r="Q711" s="3" t="s">
        <v>1873</v>
      </c>
      <c r="R711" s="2"/>
      <c r="S711" s="2"/>
      <c r="T711" s="4" t="n">
        <f aca="false">DATE(VALUE(MID(C711,7,4)),VALUE(MID(C711,4,2)),VALUE(MID(C711,1,2)))+TIME(VALUE(MID(C711,12,2)),VALUE(MID(C711,15,2)),0)</f>
        <v>38313.8513888889</v>
      </c>
      <c r="U711" s="2" t="str">
        <f aca="false">IF(AND(ISNUMBER(VALUE(MID(A711,7,1))),ISNUMBER(SEARCH("km",A711)),ISNUMBER(SEARCH("of",A711))),"Distance-location","Named-region")</f>
        <v>Named-region</v>
      </c>
      <c r="V711" s="2" t="str">
        <f aca="false">LOWER(M711)</f>
        <v>mwc</v>
      </c>
      <c r="W711" s="5" t="str">
        <f aca="false">IF(COUNTIFS($A$2:$A$1001,A711,$C$2:$C$1001,C711)&gt;1,"Duplicate","Unique")</f>
        <v>Unique</v>
      </c>
    </row>
    <row r="712" customFormat="false" ht="15" hidden="false" customHeight="false" outlineLevel="0" collapsed="false">
      <c r="A712" s="2" t="s">
        <v>1874</v>
      </c>
      <c r="B712" s="3" t="n">
        <v>7.2</v>
      </c>
      <c r="C712" s="2" t="s">
        <v>1875</v>
      </c>
      <c r="D712" s="2" t="n">
        <v>8</v>
      </c>
      <c r="E712" s="2" t="n">
        <v>8</v>
      </c>
      <c r="F712" s="2"/>
      <c r="G712" s="2" t="n">
        <v>0</v>
      </c>
      <c r="H712" s="2" t="n">
        <v>820</v>
      </c>
      <c r="I712" s="2" t="s">
        <v>26</v>
      </c>
      <c r="J712" s="2" t="n">
        <v>708</v>
      </c>
      <c r="K712" s="2" t="n">
        <v>0</v>
      </c>
      <c r="L712" s="2" t="n">
        <v>50.2</v>
      </c>
      <c r="M712" s="2" t="s">
        <v>158</v>
      </c>
      <c r="N712" s="3" t="n">
        <v>15</v>
      </c>
      <c r="O712" s="3" t="n">
        <v>4.695</v>
      </c>
      <c r="P712" s="3" t="n">
        <v>-77.508</v>
      </c>
      <c r="Q712" s="3" t="s">
        <v>1876</v>
      </c>
      <c r="R712" s="2"/>
      <c r="S712" s="2" t="s">
        <v>58</v>
      </c>
      <c r="T712" s="4" t="n">
        <f aca="false">DATE(VALUE(MID(C712,7,4)),VALUE(MID(C712,4,2)),VALUE(MID(C712,1,2)))+TIME(VALUE(MID(C712,12,2)),VALUE(MID(C712,15,2)),0)</f>
        <v>38306.3791666667</v>
      </c>
      <c r="U712" s="2" t="str">
        <f aca="false">IF(AND(ISNUMBER(VALUE(MID(A712,7,1))),ISNUMBER(SEARCH("km",A712)),ISNUMBER(SEARCH("of",A712))),"Distance-location","Named-region")</f>
        <v>Named-region</v>
      </c>
      <c r="V712" s="2" t="str">
        <f aca="false">LOWER(M712)</f>
        <v>mwb</v>
      </c>
      <c r="W712" s="5" t="str">
        <f aca="false">IF(COUNTIFS($A$2:$A$1001,A712,$C$2:$C$1001,C712)&gt;1,"Duplicate","Unique")</f>
        <v>Unique</v>
      </c>
    </row>
    <row r="713" customFormat="false" ht="15" hidden="false" customHeight="false" outlineLevel="0" collapsed="false">
      <c r="A713" s="2" t="s">
        <v>1877</v>
      </c>
      <c r="B713" s="3" t="n">
        <v>7.5</v>
      </c>
      <c r="C713" s="2" t="s">
        <v>1878</v>
      </c>
      <c r="D713" s="2" t="n">
        <v>5</v>
      </c>
      <c r="E713" s="2" t="n">
        <v>7</v>
      </c>
      <c r="F713" s="2"/>
      <c r="G713" s="2" t="n">
        <v>0</v>
      </c>
      <c r="H713" s="2" t="n">
        <v>870</v>
      </c>
      <c r="I713" s="2" t="s">
        <v>26</v>
      </c>
      <c r="J713" s="2" t="n">
        <v>301</v>
      </c>
      <c r="K713" s="2" t="n">
        <v>0</v>
      </c>
      <c r="L713" s="2" t="n">
        <v>33.8</v>
      </c>
      <c r="M713" s="2" t="s">
        <v>131</v>
      </c>
      <c r="N713" s="3" t="n">
        <v>10</v>
      </c>
      <c r="O713" s="3" t="n">
        <v>-8.152</v>
      </c>
      <c r="P713" s="3" t="n">
        <v>124.868</v>
      </c>
      <c r="Q713" s="3" t="s">
        <v>900</v>
      </c>
      <c r="R713" s="2"/>
      <c r="S713" s="2" t="s">
        <v>72</v>
      </c>
      <c r="T713" s="4" t="n">
        <f aca="false">DATE(VALUE(MID(C713,7,4)),VALUE(MID(C713,4,2)),VALUE(MID(C713,1,2)))+TIME(VALUE(MID(C713,12,2)),VALUE(MID(C713,15,2)),0)</f>
        <v>38302.8930555556</v>
      </c>
      <c r="U713" s="2" t="str">
        <f aca="false">IF(AND(ISNUMBER(VALUE(MID(A713,7,1))),ISNUMBER(SEARCH("km",A713)),ISNUMBER(SEARCH("of",A713))),"Distance-location","Named-region")</f>
        <v>Named-region</v>
      </c>
      <c r="V713" s="2" t="str">
        <f aca="false">LOWER(M713)</f>
        <v>mwc</v>
      </c>
      <c r="W713" s="5" t="str">
        <f aca="false">IF(COUNTIFS($A$2:$A$1001,A713,$C$2:$C$1001,C713)&gt;1,"Duplicate","Unique")</f>
        <v>Unique</v>
      </c>
    </row>
    <row r="714" customFormat="false" ht="15" hidden="false" customHeight="false" outlineLevel="0" collapsed="false">
      <c r="A714" s="2" t="s">
        <v>1879</v>
      </c>
      <c r="B714" s="3" t="n">
        <v>6.7</v>
      </c>
      <c r="C714" s="2" t="s">
        <v>1880</v>
      </c>
      <c r="D714" s="2" t="n">
        <v>0</v>
      </c>
      <c r="E714" s="2" t="n">
        <v>6</v>
      </c>
      <c r="F714" s="2"/>
      <c r="G714" s="2" t="n">
        <v>0</v>
      </c>
      <c r="H714" s="2" t="n">
        <v>691</v>
      </c>
      <c r="I714" s="2" t="s">
        <v>26</v>
      </c>
      <c r="J714" s="2" t="n">
        <v>233</v>
      </c>
      <c r="K714" s="2" t="n">
        <v>0</v>
      </c>
      <c r="L714" s="2" t="n">
        <v>21.5</v>
      </c>
      <c r="M714" s="2" t="s">
        <v>158</v>
      </c>
      <c r="N714" s="3" t="n">
        <v>10</v>
      </c>
      <c r="O714" s="3" t="n">
        <v>-11.128</v>
      </c>
      <c r="P714" s="3" t="n">
        <v>162.208</v>
      </c>
      <c r="Q714" s="3" t="s">
        <v>585</v>
      </c>
      <c r="R714" s="2"/>
      <c r="S714" s="2"/>
      <c r="T714" s="4" t="n">
        <f aca="false">DATE(VALUE(MID(C714,7,4)),VALUE(MID(C714,4,2)),VALUE(MID(C714,1,2)))+TIME(VALUE(MID(C714,12,2)),VALUE(MID(C714,15,2)),0)</f>
        <v>38302.7319444444</v>
      </c>
      <c r="U714" s="2" t="str">
        <f aca="false">IF(AND(ISNUMBER(VALUE(MID(A714,7,1))),ISNUMBER(SEARCH("km",A714)),ISNUMBER(SEARCH("of",A714))),"Distance-location","Named-region")</f>
        <v>Named-region</v>
      </c>
      <c r="V714" s="2" t="str">
        <f aca="false">LOWER(M714)</f>
        <v>mwb</v>
      </c>
      <c r="W714" s="5" t="str">
        <f aca="false">IF(COUNTIFS($A$2:$A$1001,A714,$C$2:$C$1001,C714)&gt;1,"Duplicate","Unique")</f>
        <v>Unique</v>
      </c>
    </row>
    <row r="715" customFormat="false" ht="15" hidden="false" customHeight="false" outlineLevel="0" collapsed="false">
      <c r="A715" s="2" t="s">
        <v>1881</v>
      </c>
      <c r="B715" s="3" t="n">
        <v>6.7</v>
      </c>
      <c r="C715" s="2" t="s">
        <v>1882</v>
      </c>
      <c r="D715" s="2" t="n">
        <v>7</v>
      </c>
      <c r="E715" s="2" t="n">
        <v>4</v>
      </c>
      <c r="F715" s="2"/>
      <c r="G715" s="2" t="n">
        <v>0</v>
      </c>
      <c r="H715" s="2" t="n">
        <v>703</v>
      </c>
      <c r="I715" s="2" t="s">
        <v>26</v>
      </c>
      <c r="J715" s="2" t="n">
        <v>459</v>
      </c>
      <c r="K715" s="2" t="n">
        <v>0</v>
      </c>
      <c r="L715" s="2" t="n">
        <v>37.3</v>
      </c>
      <c r="M715" s="2" t="s">
        <v>158</v>
      </c>
      <c r="N715" s="3" t="n">
        <v>10</v>
      </c>
      <c r="O715" s="3" t="n">
        <v>49.277</v>
      </c>
      <c r="P715" s="3" t="n">
        <v>-128.772</v>
      </c>
      <c r="Q715" s="3" t="s">
        <v>560</v>
      </c>
      <c r="R715" s="2"/>
      <c r="S715" s="2"/>
      <c r="T715" s="4" t="n">
        <f aca="false">DATE(VALUE(MID(C715,7,4)),VALUE(MID(C715,4,2)),VALUE(MID(C715,1,2)))+TIME(VALUE(MID(C715,12,2)),VALUE(MID(C715,15,2)),0)</f>
        <v>38293.4180555556</v>
      </c>
      <c r="U715" s="2" t="str">
        <f aca="false">IF(AND(ISNUMBER(VALUE(MID(A715,7,1))),ISNUMBER(SEARCH("km",A715)),ISNUMBER(SEARCH("of",A715))),"Distance-location","Named-region")</f>
        <v>Named-region</v>
      </c>
      <c r="V715" s="2" t="str">
        <f aca="false">LOWER(M715)</f>
        <v>mwb</v>
      </c>
      <c r="W715" s="5" t="str">
        <f aca="false">IF(COUNTIFS($A$2:$A$1001,A715,$C$2:$C$1001,C715)&gt;1,"Duplicate","Unique")</f>
        <v>Unique</v>
      </c>
    </row>
    <row r="716" customFormat="false" ht="15" hidden="false" customHeight="false" outlineLevel="0" collapsed="false">
      <c r="A716" s="2" t="s">
        <v>1883</v>
      </c>
      <c r="B716" s="3" t="n">
        <v>6.6</v>
      </c>
      <c r="C716" s="2" t="s">
        <v>1884</v>
      </c>
      <c r="D716" s="2" t="n">
        <v>0</v>
      </c>
      <c r="E716" s="2" t="n">
        <v>8</v>
      </c>
      <c r="F716" s="2"/>
      <c r="G716" s="2" t="n">
        <v>0</v>
      </c>
      <c r="H716" s="2" t="n">
        <v>670</v>
      </c>
      <c r="I716" s="2" t="s">
        <v>26</v>
      </c>
      <c r="J716" s="2" t="n">
        <v>782</v>
      </c>
      <c r="K716" s="2" t="n">
        <v>0</v>
      </c>
      <c r="L716" s="2" t="n">
        <v>37</v>
      </c>
      <c r="M716" s="2" t="s">
        <v>131</v>
      </c>
      <c r="N716" s="3" t="n">
        <v>16</v>
      </c>
      <c r="O716" s="3" t="n">
        <v>37.226</v>
      </c>
      <c r="P716" s="3" t="n">
        <v>138.779</v>
      </c>
      <c r="Q716" s="3" t="s">
        <v>1885</v>
      </c>
      <c r="R716" s="2" t="s">
        <v>84</v>
      </c>
      <c r="S716" s="2" t="s">
        <v>326</v>
      </c>
      <c r="T716" s="4" t="n">
        <f aca="false">DATE(VALUE(MID(C716,7,4)),VALUE(MID(C716,4,2)),VALUE(MID(C716,1,2)))+TIME(VALUE(MID(C716,12,2)),VALUE(MID(C716,15,2)),0)</f>
        <v>38283.3722222222</v>
      </c>
      <c r="U716" s="2" t="str">
        <f aca="false">IF(AND(ISNUMBER(VALUE(MID(A716,7,1))),ISNUMBER(SEARCH("km",A716)),ISNUMBER(SEARCH("of",A716))),"Distance-location","Named-region")</f>
        <v>Named-region</v>
      </c>
      <c r="V716" s="2" t="str">
        <f aca="false">LOWER(M716)</f>
        <v>mwc</v>
      </c>
      <c r="W716" s="5" t="str">
        <f aca="false">IF(COUNTIFS($A$2:$A$1001,A716,$C$2:$C$1001,C716)&gt;1,"Duplicate","Unique")</f>
        <v>Unique</v>
      </c>
    </row>
    <row r="717" customFormat="false" ht="15" hidden="false" customHeight="false" outlineLevel="0" collapsed="false">
      <c r="A717" s="2" t="s">
        <v>1886</v>
      </c>
      <c r="B717" s="3" t="n">
        <v>6.7</v>
      </c>
      <c r="C717" s="2" t="s">
        <v>1887</v>
      </c>
      <c r="D717" s="2" t="n">
        <v>5</v>
      </c>
      <c r="E717" s="2" t="n">
        <v>6</v>
      </c>
      <c r="F717" s="2"/>
      <c r="G717" s="2" t="n">
        <v>0</v>
      </c>
      <c r="H717" s="2" t="n">
        <v>705</v>
      </c>
      <c r="I717" s="2" t="s">
        <v>26</v>
      </c>
      <c r="J717" s="2" t="n">
        <v>698</v>
      </c>
      <c r="K717" s="2" t="n">
        <v>0</v>
      </c>
      <c r="L717" s="2" t="n">
        <v>24.7</v>
      </c>
      <c r="M717" s="2" t="s">
        <v>158</v>
      </c>
      <c r="N717" s="3" t="n">
        <v>94</v>
      </c>
      <c r="O717" s="3" t="n">
        <v>24.53</v>
      </c>
      <c r="P717" s="3" t="n">
        <v>122.694</v>
      </c>
      <c r="Q717" s="3" t="s">
        <v>1888</v>
      </c>
      <c r="R717" s="2"/>
      <c r="S717" s="2"/>
      <c r="T717" s="4" t="n">
        <f aca="false">DATE(VALUE(MID(C717,7,4)),VALUE(MID(C717,4,2)),VALUE(MID(C717,1,2)))+TIME(VALUE(MID(C717,12,2)),VALUE(MID(C717,15,2)),0)</f>
        <v>38275.1722222222</v>
      </c>
      <c r="U717" s="2" t="str">
        <f aca="false">IF(AND(ISNUMBER(VALUE(MID(A717,7,1))),ISNUMBER(SEARCH("km",A717)),ISNUMBER(SEARCH("of",A717))),"Distance-location","Named-region")</f>
        <v>Named-region</v>
      </c>
      <c r="V717" s="2" t="str">
        <f aca="false">LOWER(M717)</f>
        <v>mwb</v>
      </c>
      <c r="W717" s="5" t="str">
        <f aca="false">IF(COUNTIFS($A$2:$A$1001,A717,$C$2:$C$1001,C717)&gt;1,"Duplicate","Unique")</f>
        <v>Unique</v>
      </c>
    </row>
    <row r="718" customFormat="false" ht="15" hidden="false" customHeight="false" outlineLevel="0" collapsed="false">
      <c r="A718" s="2" t="s">
        <v>1889</v>
      </c>
      <c r="B718" s="3" t="n">
        <v>7</v>
      </c>
      <c r="C718" s="2" t="s">
        <v>1890</v>
      </c>
      <c r="D718" s="2" t="n">
        <v>0</v>
      </c>
      <c r="E718" s="2" t="n">
        <v>6</v>
      </c>
      <c r="F718" s="2"/>
      <c r="G718" s="2" t="n">
        <v>0</v>
      </c>
      <c r="H718" s="2" t="n">
        <v>754</v>
      </c>
      <c r="I718" s="2" t="s">
        <v>26</v>
      </c>
      <c r="J718" s="2" t="n">
        <v>441</v>
      </c>
      <c r="K718" s="2" t="n">
        <v>0</v>
      </c>
      <c r="L718" s="2" t="n">
        <v>32.2</v>
      </c>
      <c r="M718" s="2" t="s">
        <v>131</v>
      </c>
      <c r="N718" s="3" t="n">
        <v>35</v>
      </c>
      <c r="O718" s="3" t="n">
        <v>11.422</v>
      </c>
      <c r="P718" s="3" t="n">
        <v>-86.665</v>
      </c>
      <c r="Q718" s="3" t="s">
        <v>210</v>
      </c>
      <c r="R718" s="2"/>
      <c r="S718" s="2"/>
      <c r="T718" s="4" t="n">
        <f aca="false">DATE(VALUE(MID(C718,7,4)),VALUE(MID(C718,4,2)),VALUE(MID(C718,1,2)))+TIME(VALUE(MID(C718,12,2)),VALUE(MID(C718,15,2)),0)</f>
        <v>38269.8930555556</v>
      </c>
      <c r="U718" s="2" t="str">
        <f aca="false">IF(AND(ISNUMBER(VALUE(MID(A718,7,1))),ISNUMBER(SEARCH("km",A718)),ISNUMBER(SEARCH("of",A718))),"Distance-location","Named-region")</f>
        <v>Named-region</v>
      </c>
      <c r="V718" s="2" t="str">
        <f aca="false">LOWER(M718)</f>
        <v>mwc</v>
      </c>
      <c r="W718" s="5" t="str">
        <f aca="false">IF(COUNTIFS($A$2:$A$1001,A718,$C$2:$C$1001,C718)&gt;1,"Duplicate","Unique")</f>
        <v>Unique</v>
      </c>
    </row>
    <row r="719" customFormat="false" ht="15" hidden="false" customHeight="false" outlineLevel="0" collapsed="false">
      <c r="A719" s="2" t="s">
        <v>1891</v>
      </c>
      <c r="B719" s="3" t="n">
        <v>6.5</v>
      </c>
      <c r="C719" s="2" t="s">
        <v>1892</v>
      </c>
      <c r="D719" s="2" t="n">
        <v>5</v>
      </c>
      <c r="E719" s="2" t="n">
        <v>5</v>
      </c>
      <c r="F719" s="2"/>
      <c r="G719" s="2" t="n">
        <v>0</v>
      </c>
      <c r="H719" s="2" t="n">
        <v>665</v>
      </c>
      <c r="I719" s="2" t="s">
        <v>26</v>
      </c>
      <c r="J719" s="2" t="n">
        <v>526</v>
      </c>
      <c r="K719" s="2" t="n">
        <v>0</v>
      </c>
      <c r="L719" s="2" t="n">
        <v>18.3</v>
      </c>
      <c r="M719" s="2" t="s">
        <v>158</v>
      </c>
      <c r="N719" s="3" t="n">
        <v>105</v>
      </c>
      <c r="O719" s="3" t="n">
        <v>13.925</v>
      </c>
      <c r="P719" s="3" t="n">
        <v>120.534</v>
      </c>
      <c r="Q719" s="3" t="s">
        <v>1893</v>
      </c>
      <c r="R719" s="2"/>
      <c r="S719" s="2" t="s">
        <v>195</v>
      </c>
      <c r="T719" s="4" t="n">
        <f aca="false">DATE(VALUE(MID(C719,7,4)),VALUE(MID(C719,4,2)),VALUE(MID(C719,1,2)))+TIME(VALUE(MID(C719,12,2)),VALUE(MID(C719,15,2)),0)</f>
        <v>38268.6083333333</v>
      </c>
      <c r="U719" s="2" t="str">
        <f aca="false">IF(AND(ISNUMBER(VALUE(MID(A719,7,1))),ISNUMBER(SEARCH("km",A719)),ISNUMBER(SEARCH("of",A719))),"Distance-location","Named-region")</f>
        <v>Named-region</v>
      </c>
      <c r="V719" s="2" t="str">
        <f aca="false">LOWER(M719)</f>
        <v>mwb</v>
      </c>
      <c r="W719" s="5" t="str">
        <f aca="false">IF(COUNTIFS($A$2:$A$1001,A719,$C$2:$C$1001,C719)&gt;1,"Duplicate","Unique")</f>
        <v>Unique</v>
      </c>
    </row>
    <row r="720" customFormat="false" ht="15" hidden="false" customHeight="false" outlineLevel="0" collapsed="false">
      <c r="A720" s="2" t="s">
        <v>1894</v>
      </c>
      <c r="B720" s="3" t="n">
        <v>6.8</v>
      </c>
      <c r="C720" s="2" t="s">
        <v>1895</v>
      </c>
      <c r="D720" s="2" t="n">
        <v>0</v>
      </c>
      <c r="E720" s="2" t="n">
        <v>6</v>
      </c>
      <c r="F720" s="2"/>
      <c r="G720" s="2" t="n">
        <v>0</v>
      </c>
      <c r="H720" s="2" t="n">
        <v>711</v>
      </c>
      <c r="I720" s="2" t="s">
        <v>26</v>
      </c>
      <c r="J720" s="2" t="n">
        <v>545</v>
      </c>
      <c r="K720" s="2" t="n">
        <v>0</v>
      </c>
      <c r="L720" s="2" t="n">
        <v>15.7</v>
      </c>
      <c r="M720" s="2" t="s">
        <v>158</v>
      </c>
      <c r="N720" s="3" t="n">
        <v>36</v>
      </c>
      <c r="O720" s="3" t="n">
        <v>-10.951</v>
      </c>
      <c r="P720" s="3" t="n">
        <v>162.161</v>
      </c>
      <c r="Q720" s="3" t="s">
        <v>585</v>
      </c>
      <c r="R720" s="2"/>
      <c r="S720" s="2" t="s">
        <v>144</v>
      </c>
      <c r="T720" s="4" t="n">
        <f aca="false">DATE(VALUE(MID(C720,7,4)),VALUE(MID(C720,4,2)),VALUE(MID(C720,1,2)))+TIME(VALUE(MID(C720,12,2)),VALUE(MID(C720,15,2)),0)</f>
        <v>38268.3520833333</v>
      </c>
      <c r="U720" s="2" t="str">
        <f aca="false">IF(AND(ISNUMBER(VALUE(MID(A720,7,1))),ISNUMBER(SEARCH("km",A720)),ISNUMBER(SEARCH("of",A720))),"Distance-location","Named-region")</f>
        <v>Named-region</v>
      </c>
      <c r="V720" s="2" t="str">
        <f aca="false">LOWER(M720)</f>
        <v>mwb</v>
      </c>
      <c r="W720" s="5" t="str">
        <f aca="false">IF(COUNTIFS($A$2:$A$1001,A720,$C$2:$C$1001,C720)&gt;1,"Duplicate","Unique")</f>
        <v>Unique</v>
      </c>
    </row>
    <row r="721" customFormat="false" ht="15" hidden="false" customHeight="false" outlineLevel="0" collapsed="false">
      <c r="A721" s="2" t="s">
        <v>1896</v>
      </c>
      <c r="B721" s="3" t="n">
        <v>6.6</v>
      </c>
      <c r="C721" s="2" t="s">
        <v>1897</v>
      </c>
      <c r="D721" s="2" t="n">
        <v>0</v>
      </c>
      <c r="E721" s="2" t="n">
        <v>4</v>
      </c>
      <c r="F721" s="2"/>
      <c r="G721" s="2" t="n">
        <v>0</v>
      </c>
      <c r="H721" s="2" t="n">
        <v>670</v>
      </c>
      <c r="I721" s="2" t="s">
        <v>26</v>
      </c>
      <c r="J721" s="2" t="n">
        <v>478</v>
      </c>
      <c r="K721" s="2" t="n">
        <v>0</v>
      </c>
      <c r="L721" s="2" t="n">
        <v>29.8</v>
      </c>
      <c r="M721" s="2" t="s">
        <v>131</v>
      </c>
      <c r="N721" s="3" t="n">
        <v>10</v>
      </c>
      <c r="O721" s="3" t="n">
        <v>33.205</v>
      </c>
      <c r="P721" s="3" t="n">
        <v>137.227</v>
      </c>
      <c r="Q721" s="3" t="s">
        <v>1898</v>
      </c>
      <c r="R721" s="2"/>
      <c r="S721" s="2"/>
      <c r="T721" s="4" t="n">
        <f aca="false">DATE(VALUE(MID(C721,7,4)),VALUE(MID(C721,4,2)),VALUE(MID(C721,1,2)))+TIME(VALUE(MID(C721,12,2)),VALUE(MID(C721,15,2)),0)</f>
        <v>38236.9784722222</v>
      </c>
      <c r="U721" s="2" t="str">
        <f aca="false">IF(AND(ISNUMBER(VALUE(MID(A721,7,1))),ISNUMBER(SEARCH("km",A721)),ISNUMBER(SEARCH("of",A721))),"Distance-location","Named-region")</f>
        <v>Named-region</v>
      </c>
      <c r="V721" s="2" t="str">
        <f aca="false">LOWER(M721)</f>
        <v>mwc</v>
      </c>
      <c r="W721" s="5" t="str">
        <f aca="false">IF(COUNTIFS($A$2:$A$1001,A721,$C$2:$C$1001,C721)&gt;1,"Duplicate","Unique")</f>
        <v>Unique</v>
      </c>
    </row>
    <row r="722" customFormat="false" ht="15" hidden="false" customHeight="false" outlineLevel="0" collapsed="false">
      <c r="A722" s="2" t="s">
        <v>1899</v>
      </c>
      <c r="B722" s="3" t="n">
        <v>7.4</v>
      </c>
      <c r="C722" s="2" t="s">
        <v>1900</v>
      </c>
      <c r="D722" s="2" t="n">
        <v>0</v>
      </c>
      <c r="E722" s="2" t="n">
        <v>5</v>
      </c>
      <c r="F722" s="2"/>
      <c r="G722" s="2" t="n">
        <v>0</v>
      </c>
      <c r="H722" s="2" t="n">
        <v>842</v>
      </c>
      <c r="I722" s="2" t="s">
        <v>26</v>
      </c>
      <c r="J722" s="2" t="n">
        <v>594</v>
      </c>
      <c r="K722" s="2" t="n">
        <v>0</v>
      </c>
      <c r="L722" s="2" t="n">
        <v>27.5</v>
      </c>
      <c r="M722" s="2" t="s">
        <v>158</v>
      </c>
      <c r="N722" s="3" t="n">
        <v>10</v>
      </c>
      <c r="O722" s="3" t="n">
        <v>33.184</v>
      </c>
      <c r="P722" s="3" t="n">
        <v>137.071</v>
      </c>
      <c r="Q722" s="3" t="s">
        <v>1898</v>
      </c>
      <c r="R722" s="2"/>
      <c r="S722" s="2"/>
      <c r="T722" s="4" t="n">
        <f aca="false">DATE(VALUE(MID(C722,7,4)),VALUE(MID(C722,4,2)),VALUE(MID(C722,1,2)))+TIME(VALUE(MID(C722,12,2)),VALUE(MID(C722,15,2)),0)</f>
        <v>38235.6229166667</v>
      </c>
      <c r="U722" s="2" t="str">
        <f aca="false">IF(AND(ISNUMBER(VALUE(MID(A722,7,1))),ISNUMBER(SEARCH("km",A722)),ISNUMBER(SEARCH("of",A722))),"Distance-location","Named-region")</f>
        <v>Named-region</v>
      </c>
      <c r="V722" s="2" t="str">
        <f aca="false">LOWER(M722)</f>
        <v>mwb</v>
      </c>
      <c r="W722" s="5" t="str">
        <f aca="false">IF(COUNTIFS($A$2:$A$1001,A722,$C$2:$C$1001,C722)&gt;1,"Duplicate","Unique")</f>
        <v>Unique</v>
      </c>
    </row>
    <row r="723" customFormat="false" ht="15" hidden="false" customHeight="false" outlineLevel="0" collapsed="false">
      <c r="A723" s="2" t="s">
        <v>1901</v>
      </c>
      <c r="B723" s="3" t="n">
        <v>7.2</v>
      </c>
      <c r="C723" s="2" t="s">
        <v>1902</v>
      </c>
      <c r="D723" s="2" t="n">
        <v>0</v>
      </c>
      <c r="E723" s="2" t="n">
        <v>5</v>
      </c>
      <c r="F723" s="2"/>
      <c r="G723" s="2" t="n">
        <v>0</v>
      </c>
      <c r="H723" s="2" t="n">
        <v>798</v>
      </c>
      <c r="I723" s="2" t="s">
        <v>26</v>
      </c>
      <c r="J723" s="2" t="n">
        <v>643</v>
      </c>
      <c r="K723" s="2" t="n">
        <v>0</v>
      </c>
      <c r="L723" s="2" t="n">
        <v>28.4</v>
      </c>
      <c r="M723" s="2" t="s">
        <v>131</v>
      </c>
      <c r="N723" s="3" t="n">
        <v>14</v>
      </c>
      <c r="O723" s="3" t="n">
        <v>33.07</v>
      </c>
      <c r="P723" s="3" t="n">
        <v>136.618</v>
      </c>
      <c r="Q723" s="3" t="s">
        <v>1898</v>
      </c>
      <c r="R723" s="2"/>
      <c r="S723" s="2"/>
      <c r="T723" s="4" t="n">
        <f aca="false">DATE(VALUE(MID(C723,7,4)),VALUE(MID(C723,4,2)),VALUE(MID(C723,1,2)))+TIME(VALUE(MID(C723,12,2)),VALUE(MID(C723,15,2)),0)</f>
        <v>38235.4215277778</v>
      </c>
      <c r="U723" s="2" t="str">
        <f aca="false">IF(AND(ISNUMBER(VALUE(MID(A723,7,1))),ISNUMBER(SEARCH("km",A723)),ISNUMBER(SEARCH("of",A723))),"Distance-location","Named-region")</f>
        <v>Named-region</v>
      </c>
      <c r="V723" s="2" t="str">
        <f aca="false">LOWER(M723)</f>
        <v>mwc</v>
      </c>
      <c r="W723" s="5" t="str">
        <f aca="false">IF(COUNTIFS($A$2:$A$1001,A723,$C$2:$C$1001,C723)&gt;1,"Duplicate","Unique")</f>
        <v>Unique</v>
      </c>
    </row>
    <row r="724" customFormat="false" ht="15" hidden="false" customHeight="false" outlineLevel="0" collapsed="false">
      <c r="A724" s="2" t="s">
        <v>1903</v>
      </c>
      <c r="B724" s="3" t="n">
        <v>6.5</v>
      </c>
      <c r="C724" s="2" t="s">
        <v>1904</v>
      </c>
      <c r="D724" s="2" t="n">
        <v>0</v>
      </c>
      <c r="E724" s="2" t="n">
        <v>7</v>
      </c>
      <c r="F724" s="2"/>
      <c r="G724" s="2" t="n">
        <v>0</v>
      </c>
      <c r="H724" s="2" t="n">
        <v>650</v>
      </c>
      <c r="I724" s="2" t="s">
        <v>26</v>
      </c>
      <c r="J724" s="2" t="n">
        <v>349</v>
      </c>
      <c r="K724" s="2" t="n">
        <v>0</v>
      </c>
      <c r="L724" s="2" t="n">
        <v>30.1</v>
      </c>
      <c r="M724" s="2" t="s">
        <v>158</v>
      </c>
      <c r="N724" s="3" t="n">
        <v>5</v>
      </c>
      <c r="O724" s="3" t="n">
        <v>-35.173</v>
      </c>
      <c r="P724" s="3" t="n">
        <v>-70.525</v>
      </c>
      <c r="Q724" s="3" t="s">
        <v>1905</v>
      </c>
      <c r="R724" s="2" t="s">
        <v>37</v>
      </c>
      <c r="S724" s="2" t="s">
        <v>377</v>
      </c>
      <c r="T724" s="4" t="n">
        <f aca="false">DATE(VALUE(MID(C724,7,4)),VALUE(MID(C724,4,2)),VALUE(MID(C724,1,2)))+TIME(VALUE(MID(C724,12,2)),VALUE(MID(C724,15,2)),0)</f>
        <v>38227.5701388889</v>
      </c>
      <c r="U724" s="2" t="str">
        <f aca="false">IF(AND(ISNUMBER(VALUE(MID(A724,7,1))),ISNUMBER(SEARCH("km",A724)),ISNUMBER(SEARCH("of",A724))),"Distance-location","Named-region")</f>
        <v>Named-region</v>
      </c>
      <c r="V724" s="2" t="str">
        <f aca="false">LOWER(M724)</f>
        <v>mwb</v>
      </c>
      <c r="W724" s="5" t="str">
        <f aca="false">IF(COUNTIFS($A$2:$A$1001,A724,$C$2:$C$1001,C724)&gt;1,"Duplicate","Unique")</f>
        <v>Unique</v>
      </c>
    </row>
    <row r="725" customFormat="false" ht="15" hidden="false" customHeight="false" outlineLevel="0" collapsed="false">
      <c r="A725" s="2" t="s">
        <v>1906</v>
      </c>
      <c r="B725" s="3" t="n">
        <v>6.5</v>
      </c>
      <c r="C725" s="2" t="s">
        <v>1907</v>
      </c>
      <c r="D725" s="2" t="n">
        <v>0</v>
      </c>
      <c r="E725" s="2" t="n">
        <v>7</v>
      </c>
      <c r="F725" s="2"/>
      <c r="G725" s="2" t="n">
        <v>0</v>
      </c>
      <c r="H725" s="2" t="n">
        <v>650</v>
      </c>
      <c r="I725" s="2" t="s">
        <v>26</v>
      </c>
      <c r="J725" s="2" t="n">
        <v>305</v>
      </c>
      <c r="K725" s="2" t="n">
        <v>0</v>
      </c>
      <c r="L725" s="2" t="n">
        <v>39</v>
      </c>
      <c r="M725" s="2" t="s">
        <v>131</v>
      </c>
      <c r="N725" s="3" t="n">
        <v>13.4</v>
      </c>
      <c r="O725" s="3" t="n">
        <v>-0.443</v>
      </c>
      <c r="P725" s="3" t="n">
        <v>133.091</v>
      </c>
      <c r="Q725" s="3" t="s">
        <v>1279</v>
      </c>
      <c r="R725" s="2"/>
      <c r="S725" s="2" t="s">
        <v>72</v>
      </c>
      <c r="T725" s="4" t="n">
        <f aca="false">DATE(VALUE(MID(C725,7,4)),VALUE(MID(C725,4,2)),VALUE(MID(C725,1,2)))+TIME(VALUE(MID(C725,12,2)),VALUE(MID(C725,15,2)),0)</f>
        <v>38196.1638888889</v>
      </c>
      <c r="U725" s="2" t="str">
        <f aca="false">IF(AND(ISNUMBER(VALUE(MID(A725,7,1))),ISNUMBER(SEARCH("km",A725)),ISNUMBER(SEARCH("of",A725))),"Distance-location","Named-region")</f>
        <v>Named-region</v>
      </c>
      <c r="V725" s="2" t="str">
        <f aca="false">LOWER(M725)</f>
        <v>mwc</v>
      </c>
      <c r="W725" s="5" t="str">
        <f aca="false">IF(COUNTIFS($A$2:$A$1001,A725,$C$2:$C$1001,C725)&gt;1,"Duplicate","Unique")</f>
        <v>Unique</v>
      </c>
    </row>
    <row r="726" customFormat="false" ht="15" hidden="false" customHeight="false" outlineLevel="0" collapsed="false">
      <c r="A726" s="2" t="s">
        <v>1908</v>
      </c>
      <c r="B726" s="3" t="n">
        <v>6.9</v>
      </c>
      <c r="C726" s="2" t="s">
        <v>1909</v>
      </c>
      <c r="D726" s="2" t="n">
        <v>0</v>
      </c>
      <c r="E726" s="2" t="n">
        <v>5</v>
      </c>
      <c r="F726" s="2"/>
      <c r="G726" s="2" t="n">
        <v>0</v>
      </c>
      <c r="H726" s="2" t="n">
        <v>732</v>
      </c>
      <c r="I726" s="2" t="s">
        <v>26</v>
      </c>
      <c r="J726" s="2" t="n">
        <v>798</v>
      </c>
      <c r="K726" s="2" t="n">
        <v>0</v>
      </c>
      <c r="L726" s="2" t="n">
        <v>31.2</v>
      </c>
      <c r="M726" s="2" t="s">
        <v>158</v>
      </c>
      <c r="N726" s="3" t="n">
        <v>188.6</v>
      </c>
      <c r="O726" s="3" t="n">
        <v>55.682</v>
      </c>
      <c r="P726" s="3" t="n">
        <v>160.003</v>
      </c>
      <c r="Q726" s="3" t="s">
        <v>1910</v>
      </c>
      <c r="R726" s="2" t="s">
        <v>84</v>
      </c>
      <c r="S726" s="2" t="s">
        <v>432</v>
      </c>
      <c r="T726" s="4" t="n">
        <f aca="false">DATE(VALUE(MID(C726,7,4)),VALUE(MID(C726,4,2)),VALUE(MID(C726,1,2)))+TIME(VALUE(MID(C726,12,2)),VALUE(MID(C726,15,2)),0)</f>
        <v>38148.6381944444</v>
      </c>
      <c r="U726" s="2" t="str">
        <f aca="false">IF(AND(ISNUMBER(VALUE(MID(A726,7,1))),ISNUMBER(SEARCH("km",A726)),ISNUMBER(SEARCH("of",A726))),"Distance-location","Named-region")</f>
        <v>Named-region</v>
      </c>
      <c r="V726" s="2" t="str">
        <f aca="false">LOWER(M726)</f>
        <v>mwb</v>
      </c>
      <c r="W726" s="5" t="str">
        <f aca="false">IF(COUNTIFS($A$2:$A$1001,A726,$C$2:$C$1001,C726)&gt;1,"Duplicate","Unique")</f>
        <v>Unique</v>
      </c>
    </row>
    <row r="727" customFormat="false" ht="15" hidden="false" customHeight="false" outlineLevel="0" collapsed="false">
      <c r="A727" s="2" t="s">
        <v>1911</v>
      </c>
      <c r="B727" s="3" t="n">
        <v>6.6</v>
      </c>
      <c r="C727" s="2" t="s">
        <v>1912</v>
      </c>
      <c r="D727" s="2" t="n">
        <v>0</v>
      </c>
      <c r="E727" s="2" t="n">
        <v>7</v>
      </c>
      <c r="F727" s="2"/>
      <c r="G727" s="2" t="n">
        <v>0</v>
      </c>
      <c r="H727" s="2" t="n">
        <v>670</v>
      </c>
      <c r="I727" s="2" t="s">
        <v>26</v>
      </c>
      <c r="J727" s="2" t="n">
        <v>282</v>
      </c>
      <c r="K727" s="2" t="n">
        <v>0</v>
      </c>
      <c r="L727" s="2" t="n">
        <v>46.9</v>
      </c>
      <c r="M727" s="2" t="s">
        <v>158</v>
      </c>
      <c r="N727" s="3" t="n">
        <v>21</v>
      </c>
      <c r="O727" s="3" t="n">
        <v>-37.695</v>
      </c>
      <c r="P727" s="3" t="n">
        <v>-73.406</v>
      </c>
      <c r="Q727" s="3" t="s">
        <v>1441</v>
      </c>
      <c r="R727" s="2" t="s">
        <v>37</v>
      </c>
      <c r="S727" s="2" t="s">
        <v>377</v>
      </c>
      <c r="T727" s="4" t="n">
        <f aca="false">DATE(VALUE(MID(C727,7,4)),VALUE(MID(C727,4,2)),VALUE(MID(C727,1,2)))+TIME(VALUE(MID(C727,12,2)),VALUE(MID(C727,15,2)),0)</f>
        <v>38110.1916666667</v>
      </c>
      <c r="U727" s="2" t="str">
        <f aca="false">IF(AND(ISNUMBER(VALUE(MID(A727,7,1))),ISNUMBER(SEARCH("km",A727)),ISNUMBER(SEARCH("of",A727))),"Distance-location","Named-region")</f>
        <v>Named-region</v>
      </c>
      <c r="V727" s="2" t="str">
        <f aca="false">LOWER(M727)</f>
        <v>mwb</v>
      </c>
      <c r="W727" s="5" t="str">
        <f aca="false">IF(COUNTIFS($A$2:$A$1001,A727,$C$2:$C$1001,C727)&gt;1,"Duplicate","Unique")</f>
        <v>Unique</v>
      </c>
    </row>
    <row r="728" customFormat="false" ht="15" hidden="false" customHeight="false" outlineLevel="0" collapsed="false">
      <c r="A728" s="2" t="s">
        <v>1913</v>
      </c>
      <c r="B728" s="3" t="n">
        <v>6.7</v>
      </c>
      <c r="C728" s="2" t="s">
        <v>1914</v>
      </c>
      <c r="D728" s="2" t="n">
        <v>0</v>
      </c>
      <c r="E728" s="2" t="n">
        <v>5</v>
      </c>
      <c r="F728" s="2"/>
      <c r="G728" s="2" t="n">
        <v>0</v>
      </c>
      <c r="H728" s="2" t="n">
        <v>691</v>
      </c>
      <c r="I728" s="2" t="s">
        <v>26</v>
      </c>
      <c r="J728" s="2" t="n">
        <v>386</v>
      </c>
      <c r="K728" s="2" t="n">
        <v>0</v>
      </c>
      <c r="L728" s="2" t="n">
        <v>27.6</v>
      </c>
      <c r="M728" s="2" t="s">
        <v>158</v>
      </c>
      <c r="N728" s="3" t="n">
        <v>65.8</v>
      </c>
      <c r="O728" s="3" t="n">
        <v>-9.362</v>
      </c>
      <c r="P728" s="3" t="n">
        <v>122.839</v>
      </c>
      <c r="Q728" s="3" t="s">
        <v>1915</v>
      </c>
      <c r="R728" s="2"/>
      <c r="S728" s="2" t="s">
        <v>72</v>
      </c>
      <c r="T728" s="4" t="n">
        <f aca="false">DATE(VALUE(MID(C728,7,4)),VALUE(MID(C728,4,2)),VALUE(MID(C728,1,2)))+TIME(VALUE(MID(C728,12,2)),VALUE(MID(C728,15,2)),0)</f>
        <v>38100.0763888889</v>
      </c>
      <c r="U728" s="2" t="str">
        <f aca="false">IF(AND(ISNUMBER(VALUE(MID(A728,7,1))),ISNUMBER(SEARCH("km",A728)),ISNUMBER(SEARCH("of",A728))),"Distance-location","Named-region")</f>
        <v>Named-region</v>
      </c>
      <c r="V728" s="2" t="str">
        <f aca="false">LOWER(M728)</f>
        <v>mwb</v>
      </c>
      <c r="W728" s="5" t="str">
        <f aca="false">IF(COUNTIFS($A$2:$A$1001,A728,$C$2:$C$1001,C728)&gt;1,"Duplicate","Unique")</f>
        <v>Unique</v>
      </c>
    </row>
    <row r="729" customFormat="false" ht="15" hidden="false" customHeight="false" outlineLevel="0" collapsed="false">
      <c r="A729" s="2" t="s">
        <v>1916</v>
      </c>
      <c r="B729" s="3" t="n">
        <v>6.5</v>
      </c>
      <c r="C729" s="2" t="s">
        <v>1917</v>
      </c>
      <c r="D729" s="2" t="n">
        <v>0</v>
      </c>
      <c r="E729" s="2" t="n">
        <v>4</v>
      </c>
      <c r="F729" s="2"/>
      <c r="G729" s="2" t="n">
        <v>0</v>
      </c>
      <c r="H729" s="2" t="n">
        <v>650</v>
      </c>
      <c r="I729" s="2" t="s">
        <v>26</v>
      </c>
      <c r="J729" s="2" t="n">
        <v>424</v>
      </c>
      <c r="K729" s="2" t="n">
        <v>0</v>
      </c>
      <c r="L729" s="2" t="n">
        <v>29.9</v>
      </c>
      <c r="M729" s="2" t="s">
        <v>158</v>
      </c>
      <c r="N729" s="3" t="n">
        <v>228.4</v>
      </c>
      <c r="O729" s="3" t="n">
        <v>-13.174</v>
      </c>
      <c r="P729" s="3" t="n">
        <v>167.198</v>
      </c>
      <c r="Q729" s="3" t="s">
        <v>28</v>
      </c>
      <c r="R729" s="2"/>
      <c r="S729" s="2" t="s">
        <v>29</v>
      </c>
      <c r="T729" s="4" t="n">
        <f aca="false">DATE(VALUE(MID(C729,7,4)),VALUE(MID(C729,4,2)),VALUE(MID(C729,1,2)))+TIME(VALUE(MID(C729,12,2)),VALUE(MID(C729,15,2)),0)</f>
        <v>38086.6409722222</v>
      </c>
      <c r="U729" s="2" t="str">
        <f aca="false">IF(AND(ISNUMBER(VALUE(MID(A729,7,1))),ISNUMBER(SEARCH("km",A729)),ISNUMBER(SEARCH("of",A729))),"Distance-location","Named-region")</f>
        <v>Named-region</v>
      </c>
      <c r="V729" s="2" t="str">
        <f aca="false">LOWER(M729)</f>
        <v>mwb</v>
      </c>
      <c r="W729" s="5" t="str">
        <f aca="false">IF(COUNTIFS($A$2:$A$1001,A729,$C$2:$C$1001,C729)&gt;1,"Duplicate","Unique")</f>
        <v>Unique</v>
      </c>
    </row>
    <row r="730" customFormat="false" ht="28.35" hidden="false" customHeight="false" outlineLevel="0" collapsed="false">
      <c r="A730" s="2" t="s">
        <v>1918</v>
      </c>
      <c r="B730" s="3" t="n">
        <v>6.6</v>
      </c>
      <c r="C730" s="2" t="s">
        <v>1919</v>
      </c>
      <c r="D730" s="2" t="n">
        <v>0</v>
      </c>
      <c r="E730" s="2" t="n">
        <v>4</v>
      </c>
      <c r="F730" s="2"/>
      <c r="G730" s="2" t="n">
        <v>0</v>
      </c>
      <c r="H730" s="2" t="n">
        <v>670</v>
      </c>
      <c r="I730" s="2" t="s">
        <v>26</v>
      </c>
      <c r="J730" s="2" t="n">
        <v>728</v>
      </c>
      <c r="K730" s="2" t="n">
        <v>0</v>
      </c>
      <c r="L730" s="2" t="n">
        <v>18.3</v>
      </c>
      <c r="M730" s="2" t="s">
        <v>158</v>
      </c>
      <c r="N730" s="3" t="n">
        <v>187.1</v>
      </c>
      <c r="O730" s="3" t="n">
        <v>36.512</v>
      </c>
      <c r="P730" s="3" t="n">
        <v>71.029</v>
      </c>
      <c r="Q730" s="3" t="s">
        <v>1920</v>
      </c>
      <c r="R730" s="2" t="s">
        <v>84</v>
      </c>
      <c r="S730" s="2" t="s">
        <v>96</v>
      </c>
      <c r="T730" s="4" t="n">
        <f aca="false">DATE(VALUE(MID(C730,7,4)),VALUE(MID(C730,4,2)),VALUE(MID(C730,1,2)))+TIME(VALUE(MID(C730,12,2)),VALUE(MID(C730,15,2)),0)</f>
        <v>38082.8916666667</v>
      </c>
      <c r="U730" s="2" t="str">
        <f aca="false">IF(AND(ISNUMBER(VALUE(MID(A730,7,1))),ISNUMBER(SEARCH("km",A730)),ISNUMBER(SEARCH("of",A730))),"Distance-location","Named-region")</f>
        <v>Named-region</v>
      </c>
      <c r="V730" s="2" t="str">
        <f aca="false">LOWER(M730)</f>
        <v>mwb</v>
      </c>
      <c r="W730" s="5" t="str">
        <f aca="false">IF(COUNTIFS($A$2:$A$1001,A730,$C$2:$C$1001,C730)&gt;1,"Duplicate","Unique")</f>
        <v>Unique</v>
      </c>
    </row>
    <row r="731" customFormat="false" ht="15" hidden="false" customHeight="false" outlineLevel="0" collapsed="false">
      <c r="A731" s="2" t="s">
        <v>1921</v>
      </c>
      <c r="B731" s="3" t="n">
        <v>6.7</v>
      </c>
      <c r="C731" s="2" t="s">
        <v>1922</v>
      </c>
      <c r="D731" s="2" t="n">
        <v>0</v>
      </c>
      <c r="E731" s="2" t="n">
        <v>7</v>
      </c>
      <c r="F731" s="2"/>
      <c r="G731" s="2" t="n">
        <v>0</v>
      </c>
      <c r="H731" s="2" t="n">
        <v>691</v>
      </c>
      <c r="I731" s="2" t="s">
        <v>26</v>
      </c>
      <c r="J731" s="2" t="n">
        <v>256</v>
      </c>
      <c r="K731" s="2" t="n">
        <v>0</v>
      </c>
      <c r="L731" s="2" t="n">
        <v>33.3</v>
      </c>
      <c r="M731" s="2" t="s">
        <v>131</v>
      </c>
      <c r="N731" s="3" t="n">
        <v>25.7</v>
      </c>
      <c r="O731" s="3" t="n">
        <v>-3.665</v>
      </c>
      <c r="P731" s="3" t="n">
        <v>135.339</v>
      </c>
      <c r="Q731" s="3" t="s">
        <v>1870</v>
      </c>
      <c r="R731" s="2"/>
      <c r="S731" s="2" t="s">
        <v>72</v>
      </c>
      <c r="T731" s="4" t="n">
        <f aca="false">DATE(VALUE(MID(C731,7,4)),VALUE(MID(C731,4,2)),VALUE(MID(C731,1,2)))+TIME(VALUE(MID(C731,12,2)),VALUE(MID(C731,15,2)),0)</f>
        <v>38025.3736111111</v>
      </c>
      <c r="U731" s="2" t="str">
        <f aca="false">IF(AND(ISNUMBER(VALUE(MID(A731,7,1))),ISNUMBER(SEARCH("km",A731)),ISNUMBER(SEARCH("of",A731))),"Distance-location","Named-region")</f>
        <v>Named-region</v>
      </c>
      <c r="V731" s="2" t="str">
        <f aca="false">LOWER(M731)</f>
        <v>mwc</v>
      </c>
      <c r="W731" s="5" t="str">
        <f aca="false">IF(COUNTIFS($A$2:$A$1001,A731,$C$2:$C$1001,C731)&gt;1,"Duplicate","Unique")</f>
        <v>Unique</v>
      </c>
    </row>
    <row r="732" customFormat="false" ht="15" hidden="false" customHeight="false" outlineLevel="0" collapsed="false">
      <c r="A732" s="2" t="s">
        <v>1923</v>
      </c>
      <c r="B732" s="3" t="n">
        <v>7.3</v>
      </c>
      <c r="C732" s="2" t="s">
        <v>1924</v>
      </c>
      <c r="D732" s="2" t="n">
        <v>0</v>
      </c>
      <c r="E732" s="2" t="n">
        <v>7</v>
      </c>
      <c r="F732" s="2"/>
      <c r="G732" s="2" t="n">
        <v>0</v>
      </c>
      <c r="H732" s="2" t="n">
        <v>820</v>
      </c>
      <c r="I732" s="2" t="s">
        <v>26</v>
      </c>
      <c r="J732" s="2" t="n">
        <v>390</v>
      </c>
      <c r="K732" s="2" t="n">
        <v>0</v>
      </c>
      <c r="L732" s="2" t="n">
        <v>23</v>
      </c>
      <c r="M732" s="2" t="s">
        <v>158</v>
      </c>
      <c r="N732" s="3" t="n">
        <v>10</v>
      </c>
      <c r="O732" s="3" t="n">
        <v>-4.003</v>
      </c>
      <c r="P732" s="3" t="n">
        <v>135.023</v>
      </c>
      <c r="Q732" s="3" t="s">
        <v>1418</v>
      </c>
      <c r="R732" s="2"/>
      <c r="S732" s="2" t="s">
        <v>72</v>
      </c>
      <c r="T732" s="4" t="n">
        <f aca="false">DATE(VALUE(MID(C732,7,4)),VALUE(MID(C732,4,2)),VALUE(MID(C732,1,2)))+TIME(VALUE(MID(C732,12,2)),VALUE(MID(C732,15,2)),0)</f>
        <v>38024.1125</v>
      </c>
      <c r="U732" s="2" t="str">
        <f aca="false">IF(AND(ISNUMBER(VALUE(MID(A732,7,1))),ISNUMBER(SEARCH("km",A732)),ISNUMBER(SEARCH("of",A732))),"Distance-location","Named-region")</f>
        <v>Named-region</v>
      </c>
      <c r="V732" s="2" t="str">
        <f aca="false">LOWER(M732)</f>
        <v>mwb</v>
      </c>
      <c r="W732" s="5" t="str">
        <f aca="false">IF(COUNTIFS($A$2:$A$1001,A732,$C$2:$C$1001,C732)&gt;1,"Duplicate","Unique")</f>
        <v>Unique</v>
      </c>
    </row>
    <row r="733" customFormat="false" ht="15" hidden="false" customHeight="false" outlineLevel="0" collapsed="false">
      <c r="A733" s="2" t="s">
        <v>1925</v>
      </c>
      <c r="B733" s="3" t="n">
        <v>7</v>
      </c>
      <c r="C733" s="2" t="s">
        <v>1926</v>
      </c>
      <c r="D733" s="2" t="n">
        <v>0</v>
      </c>
      <c r="E733" s="2" t="n">
        <v>7</v>
      </c>
      <c r="F733" s="2"/>
      <c r="G733" s="2" t="n">
        <v>0</v>
      </c>
      <c r="H733" s="2" t="n">
        <v>754</v>
      </c>
      <c r="I733" s="2" t="s">
        <v>26</v>
      </c>
      <c r="J733" s="2" t="n">
        <v>367</v>
      </c>
      <c r="K733" s="2" t="n">
        <v>0</v>
      </c>
      <c r="L733" s="2" t="n">
        <v>33</v>
      </c>
      <c r="M733" s="2" t="s">
        <v>131</v>
      </c>
      <c r="N733" s="3" t="n">
        <v>16.6</v>
      </c>
      <c r="O733" s="3" t="n">
        <v>-3.615</v>
      </c>
      <c r="P733" s="3" t="n">
        <v>135.538</v>
      </c>
      <c r="Q733" s="3" t="s">
        <v>1870</v>
      </c>
      <c r="R733" s="2"/>
      <c r="S733" s="2" t="s">
        <v>72</v>
      </c>
      <c r="T733" s="4" t="n">
        <f aca="false">DATE(VALUE(MID(C733,7,4)),VALUE(MID(C733,4,2)),VALUE(MID(C733,1,2)))+TIME(VALUE(MID(C733,12,2)),VALUE(MID(C733,15,2)),0)</f>
        <v>38022.8784722222</v>
      </c>
      <c r="U733" s="2" t="str">
        <f aca="false">IF(AND(ISNUMBER(VALUE(MID(A733,7,1))),ISNUMBER(SEARCH("km",A733)),ISNUMBER(SEARCH("of",A733))),"Distance-location","Named-region")</f>
        <v>Named-region</v>
      </c>
      <c r="V733" s="2" t="str">
        <f aca="false">LOWER(M733)</f>
        <v>mwc</v>
      </c>
      <c r="W733" s="5" t="str">
        <f aca="false">IF(COUNTIFS($A$2:$A$1001,A733,$C$2:$C$1001,C733)&gt;1,"Duplicate","Unique")</f>
        <v>Unique</v>
      </c>
    </row>
    <row r="734" customFormat="false" ht="15" hidden="false" customHeight="false" outlineLevel="0" collapsed="false">
      <c r="A734" s="2" t="s">
        <v>1927</v>
      </c>
      <c r="B734" s="3" t="n">
        <v>6.7</v>
      </c>
      <c r="C734" s="2" t="s">
        <v>1928</v>
      </c>
      <c r="D734" s="2" t="n">
        <v>0</v>
      </c>
      <c r="E734" s="2" t="n">
        <v>6</v>
      </c>
      <c r="F734" s="2"/>
      <c r="G734" s="2" t="n">
        <v>0</v>
      </c>
      <c r="H734" s="2" t="n">
        <v>691</v>
      </c>
      <c r="I734" s="2" t="s">
        <v>26</v>
      </c>
      <c r="J734" s="2" t="n">
        <v>243</v>
      </c>
      <c r="K734" s="2" t="n">
        <v>0</v>
      </c>
      <c r="L734" s="2" t="n">
        <v>42.5</v>
      </c>
      <c r="M734" s="2" t="s">
        <v>158</v>
      </c>
      <c r="N734" s="3" t="n">
        <v>17.4</v>
      </c>
      <c r="O734" s="3" t="n">
        <v>-3.12</v>
      </c>
      <c r="P734" s="3" t="n">
        <v>127.4</v>
      </c>
      <c r="Q734" s="3" t="s">
        <v>1774</v>
      </c>
      <c r="R734" s="2"/>
      <c r="S734" s="2" t="s">
        <v>72</v>
      </c>
      <c r="T734" s="4" t="n">
        <f aca="false">DATE(VALUE(MID(C734,7,4)),VALUE(MID(C734,4,2)),VALUE(MID(C734,1,2)))+TIME(VALUE(MID(C734,12,2)),VALUE(MID(C734,15,2)),0)</f>
        <v>38014.9270833333</v>
      </c>
      <c r="U734" s="2" t="str">
        <f aca="false">IF(AND(ISNUMBER(VALUE(MID(A734,7,1))),ISNUMBER(SEARCH("km",A734)),ISNUMBER(SEARCH("of",A734))),"Distance-location","Named-region")</f>
        <v>Named-region</v>
      </c>
      <c r="V734" s="2" t="str">
        <f aca="false">LOWER(M734)</f>
        <v>mwb</v>
      </c>
      <c r="W734" s="5" t="str">
        <f aca="false">IF(COUNTIFS($A$2:$A$1001,A734,$C$2:$C$1001,C734)&gt;1,"Duplicate","Unique")</f>
        <v>Unique</v>
      </c>
    </row>
    <row r="735" customFormat="false" ht="15" hidden="false" customHeight="false" outlineLevel="0" collapsed="false">
      <c r="A735" s="2" t="s">
        <v>1929</v>
      </c>
      <c r="B735" s="3" t="n">
        <v>7.3</v>
      </c>
      <c r="C735" s="2" t="s">
        <v>1930</v>
      </c>
      <c r="D735" s="2" t="n">
        <v>0</v>
      </c>
      <c r="E735" s="2" t="n">
        <v>4</v>
      </c>
      <c r="F735" s="2"/>
      <c r="G735" s="2" t="n">
        <v>0</v>
      </c>
      <c r="H735" s="2" t="n">
        <v>820</v>
      </c>
      <c r="I735" s="2" t="s">
        <v>26</v>
      </c>
      <c r="J735" s="2" t="n">
        <v>235</v>
      </c>
      <c r="K735" s="2" t="n">
        <v>0</v>
      </c>
      <c r="L735" s="2" t="n">
        <v>46.6</v>
      </c>
      <c r="M735" s="2" t="s">
        <v>131</v>
      </c>
      <c r="N735" s="3" t="n">
        <v>10</v>
      </c>
      <c r="O735" s="3" t="n">
        <v>-22.015</v>
      </c>
      <c r="P735" s="3" t="n">
        <v>169.766</v>
      </c>
      <c r="Q735" s="3" t="s">
        <v>215</v>
      </c>
      <c r="R735" s="2"/>
      <c r="S735" s="2"/>
      <c r="T735" s="4" t="n">
        <f aca="false">DATE(VALUE(MID(C735,7,4)),VALUE(MID(C735,4,2)),VALUE(MID(C735,1,2)))+TIME(VALUE(MID(C735,12,2)),VALUE(MID(C735,15,2)),0)</f>
        <v>37982.6666666667</v>
      </c>
      <c r="U735" s="2" t="str">
        <f aca="false">IF(AND(ISNUMBER(VALUE(MID(A735,7,1))),ISNUMBER(SEARCH("km",A735)),ISNUMBER(SEARCH("of",A735))),"Distance-location","Named-region")</f>
        <v>Named-region</v>
      </c>
      <c r="V735" s="2" t="str">
        <f aca="false">LOWER(M735)</f>
        <v>mwc</v>
      </c>
      <c r="W735" s="5" t="str">
        <f aca="false">IF(COUNTIFS($A$2:$A$1001,A735,$C$2:$C$1001,C735)&gt;1,"Duplicate","Unique")</f>
        <v>Unique</v>
      </c>
    </row>
    <row r="736" customFormat="false" ht="15" hidden="false" customHeight="false" outlineLevel="0" collapsed="false">
      <c r="A736" s="2" t="s">
        <v>1931</v>
      </c>
      <c r="B736" s="3" t="n">
        <v>6.6</v>
      </c>
      <c r="C736" s="2" t="s">
        <v>1932</v>
      </c>
      <c r="D736" s="2" t="n">
        <v>0</v>
      </c>
      <c r="E736" s="2" t="n">
        <v>9</v>
      </c>
      <c r="F736" s="2"/>
      <c r="G736" s="2" t="n">
        <v>0</v>
      </c>
      <c r="H736" s="2" t="n">
        <v>670</v>
      </c>
      <c r="I736" s="2" t="s">
        <v>26</v>
      </c>
      <c r="J736" s="2" t="n">
        <v>552</v>
      </c>
      <c r="K736" s="2" t="n">
        <v>0</v>
      </c>
      <c r="L736" s="2" t="n">
        <v>44.8</v>
      </c>
      <c r="M736" s="2" t="s">
        <v>131</v>
      </c>
      <c r="N736" s="3" t="n">
        <v>10</v>
      </c>
      <c r="O736" s="3" t="n">
        <v>28.995</v>
      </c>
      <c r="P736" s="3" t="n">
        <v>58.311</v>
      </c>
      <c r="Q736" s="3" t="s">
        <v>1408</v>
      </c>
      <c r="R736" s="2" t="s">
        <v>84</v>
      </c>
      <c r="S736" s="2" t="s">
        <v>664</v>
      </c>
      <c r="T736" s="4" t="n">
        <f aca="false">DATE(VALUE(MID(C736,7,4)),VALUE(MID(C736,4,2)),VALUE(MID(C736,1,2)))+TIME(VALUE(MID(C736,12,2)),VALUE(MID(C736,15,2)),0)</f>
        <v>37981.0805555556</v>
      </c>
      <c r="U736" s="2" t="str">
        <f aca="false">IF(AND(ISNUMBER(VALUE(MID(A736,7,1))),ISNUMBER(SEARCH("km",A736)),ISNUMBER(SEARCH("of",A736))),"Distance-location","Named-region")</f>
        <v>Named-region</v>
      </c>
      <c r="V736" s="2" t="str">
        <f aca="false">LOWER(M736)</f>
        <v>mwc</v>
      </c>
      <c r="W736" s="5" t="str">
        <f aca="false">IF(COUNTIFS($A$2:$A$1001,A736,$C$2:$C$1001,C736)&gt;1,"Duplicate","Unique")</f>
        <v>Unique</v>
      </c>
    </row>
    <row r="737" customFormat="false" ht="15" hidden="false" customHeight="false" outlineLevel="0" collapsed="false">
      <c r="A737" s="2" t="s">
        <v>1933</v>
      </c>
      <c r="B737" s="3" t="n">
        <v>6.5</v>
      </c>
      <c r="C737" s="2" t="s">
        <v>1934</v>
      </c>
      <c r="D737" s="2" t="n">
        <v>0</v>
      </c>
      <c r="E737" s="2" t="n">
        <v>6</v>
      </c>
      <c r="F737" s="2"/>
      <c r="G737" s="2" t="n">
        <v>0</v>
      </c>
      <c r="H737" s="2" t="n">
        <v>650</v>
      </c>
      <c r="I737" s="2" t="s">
        <v>26</v>
      </c>
      <c r="J737" s="2" t="n">
        <v>405</v>
      </c>
      <c r="K737" s="2" t="n">
        <v>0</v>
      </c>
      <c r="L737" s="2" t="n">
        <v>48.4</v>
      </c>
      <c r="M737" s="2" t="s">
        <v>158</v>
      </c>
      <c r="N737" s="3" t="n">
        <v>33</v>
      </c>
      <c r="O737" s="3" t="n">
        <v>8.416</v>
      </c>
      <c r="P737" s="3" t="n">
        <v>-82.824</v>
      </c>
      <c r="Q737" s="3" t="s">
        <v>1935</v>
      </c>
      <c r="R737" s="2"/>
      <c r="S737" s="2" t="s">
        <v>164</v>
      </c>
      <c r="T737" s="4" t="n">
        <f aca="false">DATE(VALUE(MID(C737,7,4)),VALUE(MID(C737,4,2)),VALUE(MID(C737,1,2)))+TIME(VALUE(MID(C737,12,2)),VALUE(MID(C737,15,2)),0)</f>
        <v>37980.2993055556</v>
      </c>
      <c r="U737" s="2" t="str">
        <f aca="false">IF(AND(ISNUMBER(VALUE(MID(A737,7,1))),ISNUMBER(SEARCH("km",A737)),ISNUMBER(SEARCH("of",A737))),"Distance-location","Named-region")</f>
        <v>Named-region</v>
      </c>
      <c r="V737" s="2" t="str">
        <f aca="false">LOWER(M737)</f>
        <v>mwb</v>
      </c>
      <c r="W737" s="5" t="str">
        <f aca="false">IF(COUNTIFS($A$2:$A$1001,A737,$C$2:$C$1001,C737)&gt;1,"Duplicate","Unique")</f>
        <v>Unique</v>
      </c>
    </row>
    <row r="738" customFormat="false" ht="15" hidden="false" customHeight="false" outlineLevel="0" collapsed="false">
      <c r="A738" s="2" t="s">
        <v>1936</v>
      </c>
      <c r="B738" s="3" t="n">
        <v>6.5</v>
      </c>
      <c r="C738" s="2" t="s">
        <v>1937</v>
      </c>
      <c r="D738" s="2" t="n">
        <v>7</v>
      </c>
      <c r="E738" s="2" t="n">
        <v>9</v>
      </c>
      <c r="F738" s="2"/>
      <c r="G738" s="2" t="n">
        <v>0</v>
      </c>
      <c r="H738" s="2" t="n">
        <v>1390</v>
      </c>
      <c r="I738" s="2" t="s">
        <v>1091</v>
      </c>
      <c r="J738" s="2" t="n">
        <v>65</v>
      </c>
      <c r="K738" s="2" t="n">
        <v>0.04685</v>
      </c>
      <c r="L738" s="2" t="n">
        <v>71</v>
      </c>
      <c r="M738" s="2" t="s">
        <v>489</v>
      </c>
      <c r="N738" s="3" t="n">
        <v>8.382</v>
      </c>
      <c r="O738" s="3" t="n">
        <v>35.7005</v>
      </c>
      <c r="P738" s="3" t="n">
        <v>-121.101</v>
      </c>
      <c r="Q738" s="3" t="s">
        <v>1938</v>
      </c>
      <c r="R738" s="2" t="s">
        <v>168</v>
      </c>
      <c r="S738" s="2" t="s">
        <v>265</v>
      </c>
      <c r="T738" s="4" t="n">
        <f aca="false">DATE(VALUE(MID(C738,7,4)),VALUE(MID(C738,4,2)),VALUE(MID(C738,1,2)))+TIME(VALUE(MID(C738,12,2)),VALUE(MID(C738,15,2)),0)</f>
        <v>37977.8020833333</v>
      </c>
      <c r="U738" s="2" t="str">
        <f aca="false">IF(AND(ISNUMBER(VALUE(MID(A738,7,1))),ISNUMBER(SEARCH("km",A738)),ISNUMBER(SEARCH("of",A738))),"Distance-location","Named-region")</f>
        <v>Named-region</v>
      </c>
      <c r="V738" s="2" t="str">
        <f aca="false">LOWER(M738)</f>
        <v>mw</v>
      </c>
      <c r="W738" s="5" t="str">
        <f aca="false">IF(COUNTIFS($A$2:$A$1001,A738,$C$2:$C$1001,C738)&gt;1,"Duplicate","Unique")</f>
        <v>Unique</v>
      </c>
    </row>
    <row r="739" customFormat="false" ht="15" hidden="false" customHeight="false" outlineLevel="0" collapsed="false">
      <c r="A739" s="2" t="s">
        <v>1939</v>
      </c>
      <c r="B739" s="3" t="n">
        <v>6.8</v>
      </c>
      <c r="C739" s="2" t="s">
        <v>1940</v>
      </c>
      <c r="D739" s="2" t="n">
        <v>0</v>
      </c>
      <c r="E739" s="2" t="n">
        <v>7</v>
      </c>
      <c r="F739" s="2"/>
      <c r="G739" s="2" t="n">
        <v>0</v>
      </c>
      <c r="H739" s="2" t="n">
        <v>711</v>
      </c>
      <c r="I739" s="2" t="s">
        <v>26</v>
      </c>
      <c r="J739" s="2" t="n">
        <v>447</v>
      </c>
      <c r="K739" s="2" t="n">
        <v>0</v>
      </c>
      <c r="L739" s="2" t="n">
        <v>27.7</v>
      </c>
      <c r="M739" s="2" t="s">
        <v>158</v>
      </c>
      <c r="N739" s="3" t="n">
        <v>10</v>
      </c>
      <c r="O739" s="3" t="n">
        <v>23.039</v>
      </c>
      <c r="P739" s="3" t="n">
        <v>121.362</v>
      </c>
      <c r="Q739" s="3" t="s">
        <v>174</v>
      </c>
      <c r="R739" s="2" t="s">
        <v>84</v>
      </c>
      <c r="S739" s="2" t="s">
        <v>175</v>
      </c>
      <c r="T739" s="4" t="n">
        <f aca="false">DATE(VALUE(MID(C739,7,4)),VALUE(MID(C739,4,2)),VALUE(MID(C739,1,2)))+TIME(VALUE(MID(C739,12,2)),VALUE(MID(C739,15,2)),0)</f>
        <v>37965.1930555556</v>
      </c>
      <c r="U739" s="2" t="str">
        <f aca="false">IF(AND(ISNUMBER(VALUE(MID(A739,7,1))),ISNUMBER(SEARCH("km",A739)),ISNUMBER(SEARCH("of",A739))),"Distance-location","Named-region")</f>
        <v>Named-region</v>
      </c>
      <c r="V739" s="2" t="str">
        <f aca="false">LOWER(M739)</f>
        <v>mwb</v>
      </c>
      <c r="W739" s="5" t="str">
        <f aca="false">IF(COUNTIFS($A$2:$A$1001,A739,$C$2:$C$1001,C739)&gt;1,"Duplicate","Unique")</f>
        <v>Unique</v>
      </c>
    </row>
    <row r="740" customFormat="false" ht="15" hidden="false" customHeight="false" outlineLevel="0" collapsed="false">
      <c r="A740" s="2" t="s">
        <v>1941</v>
      </c>
      <c r="B740" s="3" t="n">
        <v>6.6</v>
      </c>
      <c r="C740" s="2" t="s">
        <v>1942</v>
      </c>
      <c r="D740" s="2" t="n">
        <v>0</v>
      </c>
      <c r="E740" s="2" t="n">
        <v>6</v>
      </c>
      <c r="F740" s="2"/>
      <c r="G740" s="2" t="n">
        <v>0</v>
      </c>
      <c r="H740" s="2" t="n">
        <v>670</v>
      </c>
      <c r="I740" s="2" t="s">
        <v>26</v>
      </c>
      <c r="J740" s="2" t="n">
        <v>384</v>
      </c>
      <c r="K740" s="2" t="n">
        <v>0</v>
      </c>
      <c r="L740" s="2" t="n">
        <v>25.1</v>
      </c>
      <c r="M740" s="2" t="s">
        <v>158</v>
      </c>
      <c r="N740" s="3" t="n">
        <v>35</v>
      </c>
      <c r="O740" s="3" t="n">
        <v>-5.581</v>
      </c>
      <c r="P740" s="3" t="n">
        <v>150.88</v>
      </c>
      <c r="Q740" s="3" t="s">
        <v>111</v>
      </c>
      <c r="R740" s="2"/>
      <c r="S740" s="2" t="s">
        <v>89</v>
      </c>
      <c r="T740" s="4" t="n">
        <f aca="false">DATE(VALUE(MID(C740,7,4)),VALUE(MID(C740,4,2)),VALUE(MID(C740,1,2)))+TIME(VALUE(MID(C740,12,2)),VALUE(MID(C740,15,2)),0)</f>
        <v>37950.8465277778</v>
      </c>
      <c r="U740" s="2" t="str">
        <f aca="false">IF(AND(ISNUMBER(VALUE(MID(A740,7,1))),ISNUMBER(SEARCH("km",A740)),ISNUMBER(SEARCH("of",A740))),"Distance-location","Named-region")</f>
        <v>Named-region</v>
      </c>
      <c r="V740" s="2" t="str">
        <f aca="false">LOWER(M740)</f>
        <v>mwb</v>
      </c>
      <c r="W740" s="5" t="str">
        <f aca="false">IF(COUNTIFS($A$2:$A$1001,A740,$C$2:$C$1001,C740)&gt;1,"Duplicate","Unique")</f>
        <v>Unique</v>
      </c>
    </row>
    <row r="741" customFormat="false" ht="15" hidden="false" customHeight="false" outlineLevel="0" collapsed="false">
      <c r="A741" s="2" t="s">
        <v>1943</v>
      </c>
      <c r="B741" s="3" t="n">
        <v>6.5</v>
      </c>
      <c r="C741" s="2" t="s">
        <v>1944</v>
      </c>
      <c r="D741" s="2" t="n">
        <v>0</v>
      </c>
      <c r="E741" s="2" t="n">
        <v>6</v>
      </c>
      <c r="F741" s="2"/>
      <c r="G741" s="2" t="n">
        <v>0</v>
      </c>
      <c r="H741" s="2" t="n">
        <v>650</v>
      </c>
      <c r="I741" s="2" t="s">
        <v>26</v>
      </c>
      <c r="J741" s="2" t="n">
        <v>487</v>
      </c>
      <c r="K741" s="2" t="n">
        <v>0</v>
      </c>
      <c r="L741" s="2" t="n">
        <v>45.9</v>
      </c>
      <c r="M741" s="2" t="s">
        <v>158</v>
      </c>
      <c r="N741" s="3" t="n">
        <v>35</v>
      </c>
      <c r="O741" s="3" t="n">
        <v>12.025</v>
      </c>
      <c r="P741" s="3" t="n">
        <v>125.416</v>
      </c>
      <c r="Q741" s="3" t="s">
        <v>1945</v>
      </c>
      <c r="R741" s="2"/>
      <c r="S741" s="2" t="s">
        <v>195</v>
      </c>
      <c r="T741" s="4" t="n">
        <f aca="false">DATE(VALUE(MID(C741,7,4)),VALUE(MID(C741,4,2)),VALUE(MID(C741,1,2)))+TIME(VALUE(MID(C741,12,2)),VALUE(MID(C741,15,2)),0)</f>
        <v>37943.7180555556</v>
      </c>
      <c r="U741" s="2" t="str">
        <f aca="false">IF(AND(ISNUMBER(VALUE(MID(A741,7,1))),ISNUMBER(SEARCH("km",A741)),ISNUMBER(SEARCH("of",A741))),"Distance-location","Named-region")</f>
        <v>Named-region</v>
      </c>
      <c r="V741" s="2" t="str">
        <f aca="false">LOWER(M741)</f>
        <v>mwb</v>
      </c>
      <c r="W741" s="5" t="str">
        <f aca="false">IF(COUNTIFS($A$2:$A$1001,A741,$C$2:$C$1001,C741)&gt;1,"Duplicate","Unique")</f>
        <v>Unique</v>
      </c>
    </row>
    <row r="742" customFormat="false" ht="15" hidden="false" customHeight="false" outlineLevel="0" collapsed="false">
      <c r="A742" s="2" t="s">
        <v>1946</v>
      </c>
      <c r="B742" s="3" t="n">
        <v>6.6</v>
      </c>
      <c r="C742" s="2" t="s">
        <v>1947</v>
      </c>
      <c r="D742" s="2" t="n">
        <v>0</v>
      </c>
      <c r="E742" s="2" t="n">
        <v>5</v>
      </c>
      <c r="F742" s="2"/>
      <c r="G742" s="2" t="n">
        <v>0</v>
      </c>
      <c r="H742" s="2" t="n">
        <v>670</v>
      </c>
      <c r="I742" s="2" t="s">
        <v>26</v>
      </c>
      <c r="J742" s="2" t="n">
        <v>475</v>
      </c>
      <c r="K742" s="2" t="n">
        <v>0</v>
      </c>
      <c r="L742" s="2" t="n">
        <v>26.2</v>
      </c>
      <c r="M742" s="2" t="s">
        <v>158</v>
      </c>
      <c r="N742" s="3" t="n">
        <v>113.7</v>
      </c>
      <c r="O742" s="3" t="n">
        <v>-19.262</v>
      </c>
      <c r="P742" s="3" t="n">
        <v>168.892</v>
      </c>
      <c r="Q742" s="3" t="s">
        <v>181</v>
      </c>
      <c r="R742" s="2"/>
      <c r="S742" s="2"/>
      <c r="T742" s="4" t="n">
        <f aca="false">DATE(VALUE(MID(C742,7,4)),VALUE(MID(C742,4,2)),VALUE(MID(C742,1,2)))+TIME(VALUE(MID(C742,12,2)),VALUE(MID(C742,15,2)),0)</f>
        <v>37931.4430555556</v>
      </c>
      <c r="U742" s="2" t="str">
        <f aca="false">IF(AND(ISNUMBER(VALUE(MID(A742,7,1))),ISNUMBER(SEARCH("km",A742)),ISNUMBER(SEARCH("of",A742))),"Distance-location","Named-region")</f>
        <v>Named-region</v>
      </c>
      <c r="V742" s="2" t="str">
        <f aca="false">LOWER(M742)</f>
        <v>mwb</v>
      </c>
      <c r="W742" s="5" t="str">
        <f aca="false">IF(COUNTIFS($A$2:$A$1001,A742,$C$2:$C$1001,C742)&gt;1,"Duplicate","Unique")</f>
        <v>Unique</v>
      </c>
    </row>
    <row r="743" customFormat="false" ht="15" hidden="false" customHeight="false" outlineLevel="0" collapsed="false">
      <c r="A743" s="2" t="s">
        <v>1948</v>
      </c>
      <c r="B743" s="3" t="n">
        <v>7</v>
      </c>
      <c r="C743" s="2" t="s">
        <v>1949</v>
      </c>
      <c r="D743" s="2" t="n">
        <v>0</v>
      </c>
      <c r="E743" s="2" t="n">
        <v>5</v>
      </c>
      <c r="F743" s="2"/>
      <c r="G743" s="2" t="n">
        <v>0</v>
      </c>
      <c r="H743" s="2" t="n">
        <v>754</v>
      </c>
      <c r="I743" s="2" t="s">
        <v>26</v>
      </c>
      <c r="J743" s="2" t="n">
        <v>568</v>
      </c>
      <c r="K743" s="2" t="n">
        <v>0</v>
      </c>
      <c r="L743" s="2" t="n">
        <v>61.2</v>
      </c>
      <c r="M743" s="2" t="s">
        <v>158</v>
      </c>
      <c r="N743" s="3" t="n">
        <v>10</v>
      </c>
      <c r="O743" s="3" t="n">
        <v>37.812</v>
      </c>
      <c r="P743" s="3" t="n">
        <v>142.619</v>
      </c>
      <c r="Q743" s="3" t="s">
        <v>335</v>
      </c>
      <c r="R743" s="2"/>
      <c r="S743" s="2"/>
      <c r="T743" s="4" t="n">
        <f aca="false">DATE(VALUE(MID(C743,7,4)),VALUE(MID(C743,4,2)),VALUE(MID(C743,1,2)))+TIME(VALUE(MID(C743,12,2)),VALUE(MID(C743,15,2)),0)</f>
        <v>37925.0458333333</v>
      </c>
      <c r="U743" s="2" t="str">
        <f aca="false">IF(AND(ISNUMBER(VALUE(MID(A743,7,1))),ISNUMBER(SEARCH("km",A743)),ISNUMBER(SEARCH("of",A743))),"Distance-location","Named-region")</f>
        <v>Named-region</v>
      </c>
      <c r="V743" s="2" t="str">
        <f aca="false">LOWER(M743)</f>
        <v>mwb</v>
      </c>
      <c r="W743" s="5" t="str">
        <f aca="false">IF(COUNTIFS($A$2:$A$1001,A743,$C$2:$C$1001,C743)&gt;1,"Duplicate","Unique")</f>
        <v>Unique</v>
      </c>
    </row>
    <row r="744" customFormat="false" ht="15" hidden="false" customHeight="false" outlineLevel="0" collapsed="false">
      <c r="A744" s="2" t="s">
        <v>1950</v>
      </c>
      <c r="B744" s="3" t="n">
        <v>6.7</v>
      </c>
      <c r="C744" s="2" t="s">
        <v>1951</v>
      </c>
      <c r="D744" s="2" t="n">
        <v>0</v>
      </c>
      <c r="E744" s="2" t="n">
        <v>6</v>
      </c>
      <c r="F744" s="2"/>
      <c r="G744" s="2" t="n">
        <v>0</v>
      </c>
      <c r="H744" s="2" t="n">
        <v>691</v>
      </c>
      <c r="I744" s="2" t="s">
        <v>26</v>
      </c>
      <c r="J744" s="2" t="n">
        <v>556</v>
      </c>
      <c r="K744" s="2" t="n">
        <v>0</v>
      </c>
      <c r="L744" s="2" t="n">
        <v>55.4</v>
      </c>
      <c r="M744" s="2" t="s">
        <v>131</v>
      </c>
      <c r="N744" s="3" t="n">
        <v>32</v>
      </c>
      <c r="O744" s="3" t="n">
        <v>42.648</v>
      </c>
      <c r="P744" s="3" t="n">
        <v>144.57</v>
      </c>
      <c r="Q744" s="3" t="s">
        <v>1952</v>
      </c>
      <c r="R744" s="2" t="s">
        <v>84</v>
      </c>
      <c r="S744" s="2"/>
      <c r="T744" s="4" t="n">
        <f aca="false">DATE(VALUE(MID(C744,7,4)),VALUE(MID(C744,4,2)),VALUE(MID(C744,1,2)))+TIME(VALUE(MID(C744,12,2)),VALUE(MID(C744,15,2)),0)</f>
        <v>37902.3791666667</v>
      </c>
      <c r="U744" s="2" t="str">
        <f aca="false">IF(AND(ISNUMBER(VALUE(MID(A744,7,1))),ISNUMBER(SEARCH("km",A744)),ISNUMBER(SEARCH("of",A744))),"Distance-location","Named-region")</f>
        <v>Named-region</v>
      </c>
      <c r="V744" s="2" t="str">
        <f aca="false">LOWER(M744)</f>
        <v>mwc</v>
      </c>
      <c r="W744" s="5" t="str">
        <f aca="false">IF(COUNTIFS($A$2:$A$1001,A744,$C$2:$C$1001,C744)&gt;1,"Duplicate","Unique")</f>
        <v>Unique</v>
      </c>
    </row>
    <row r="745" customFormat="false" ht="15" hidden="false" customHeight="false" outlineLevel="0" collapsed="false">
      <c r="A745" s="2" t="s">
        <v>1953</v>
      </c>
      <c r="B745" s="3" t="n">
        <v>6.7</v>
      </c>
      <c r="C745" s="2" t="s">
        <v>1954</v>
      </c>
      <c r="D745" s="2" t="n">
        <v>0</v>
      </c>
      <c r="E745" s="2" t="n">
        <v>7</v>
      </c>
      <c r="F745" s="2"/>
      <c r="G745" s="2" t="n">
        <v>0</v>
      </c>
      <c r="H745" s="2" t="n">
        <v>691</v>
      </c>
      <c r="I745" s="2" t="s">
        <v>26</v>
      </c>
      <c r="J745" s="2" t="n">
        <v>643</v>
      </c>
      <c r="K745" s="2" t="n">
        <v>0</v>
      </c>
      <c r="L745" s="2" t="n">
        <v>24.5</v>
      </c>
      <c r="M745" s="2" t="s">
        <v>158</v>
      </c>
      <c r="N745" s="3" t="n">
        <v>10</v>
      </c>
      <c r="O745" s="3" t="n">
        <v>50.211</v>
      </c>
      <c r="P745" s="3" t="n">
        <v>87.721</v>
      </c>
      <c r="Q745" s="3" t="s">
        <v>1955</v>
      </c>
      <c r="R745" s="2" t="s">
        <v>84</v>
      </c>
      <c r="S745" s="2" t="s">
        <v>432</v>
      </c>
      <c r="T745" s="4" t="n">
        <f aca="false">DATE(VALUE(MID(C745,7,4)),VALUE(MID(C745,4,2)),VALUE(MID(C745,1,2)))+TIME(VALUE(MID(C745,12,2)),VALUE(MID(C745,15,2)),0)</f>
        <v>37895.04375</v>
      </c>
      <c r="U745" s="2" t="str">
        <f aca="false">IF(AND(ISNUMBER(VALUE(MID(A745,7,1))),ISNUMBER(SEARCH("km",A745)),ISNUMBER(SEARCH("of",A745))),"Distance-location","Named-region")</f>
        <v>Named-region</v>
      </c>
      <c r="V745" s="2" t="str">
        <f aca="false">LOWER(M745)</f>
        <v>mwb</v>
      </c>
      <c r="W745" s="5" t="str">
        <f aca="false">IF(COUNTIFS($A$2:$A$1001,A745,$C$2:$C$1001,C745)&gt;1,"Duplicate","Unique")</f>
        <v>Unique</v>
      </c>
    </row>
    <row r="746" customFormat="false" ht="15" hidden="false" customHeight="false" outlineLevel="0" collapsed="false">
      <c r="A746" s="2" t="s">
        <v>1956</v>
      </c>
      <c r="B746" s="3" t="n">
        <v>6.5</v>
      </c>
      <c r="C746" s="2" t="s">
        <v>1957</v>
      </c>
      <c r="D746" s="2" t="n">
        <v>0</v>
      </c>
      <c r="E746" s="2" t="n">
        <v>5</v>
      </c>
      <c r="F746" s="2"/>
      <c r="G746" s="2" t="n">
        <v>0</v>
      </c>
      <c r="H746" s="2" t="n">
        <v>650</v>
      </c>
      <c r="I746" s="2" t="s">
        <v>26</v>
      </c>
      <c r="J746" s="2" t="n">
        <v>586</v>
      </c>
      <c r="K746" s="2" t="n">
        <v>0</v>
      </c>
      <c r="L746" s="2" t="n">
        <v>71.3</v>
      </c>
      <c r="M746" s="2" t="s">
        <v>131</v>
      </c>
      <c r="N746" s="3" t="n">
        <v>25</v>
      </c>
      <c r="O746" s="3" t="n">
        <v>42.45</v>
      </c>
      <c r="P746" s="3" t="n">
        <v>144.38</v>
      </c>
      <c r="Q746" s="3" t="s">
        <v>1952</v>
      </c>
      <c r="R746" s="2"/>
      <c r="S746" s="2"/>
      <c r="T746" s="4" t="n">
        <f aca="false">DATE(VALUE(MID(C746,7,4)),VALUE(MID(C746,4,2)),VALUE(MID(C746,1,2)))+TIME(VALUE(MID(C746,12,2)),VALUE(MID(C746,15,2)),0)</f>
        <v>37893.1083333333</v>
      </c>
      <c r="U746" s="2" t="str">
        <f aca="false">IF(AND(ISNUMBER(VALUE(MID(A746,7,1))),ISNUMBER(SEARCH("km",A746)),ISNUMBER(SEARCH("of",A746))),"Distance-location","Named-region")</f>
        <v>Named-region</v>
      </c>
      <c r="V746" s="2" t="str">
        <f aca="false">LOWER(M746)</f>
        <v>mwc</v>
      </c>
      <c r="W746" s="5" t="str">
        <f aca="false">IF(COUNTIFS($A$2:$A$1001,A746,$C$2:$C$1001,C746)&gt;1,"Duplicate","Unique")</f>
        <v>Unique</v>
      </c>
    </row>
    <row r="747" customFormat="false" ht="15" hidden="false" customHeight="false" outlineLevel="0" collapsed="false">
      <c r="A747" s="2" t="s">
        <v>1958</v>
      </c>
      <c r="B747" s="3" t="n">
        <v>7.3</v>
      </c>
      <c r="C747" s="2" t="s">
        <v>1959</v>
      </c>
      <c r="D747" s="2" t="n">
        <v>0</v>
      </c>
      <c r="E747" s="2" t="n">
        <v>7</v>
      </c>
      <c r="F747" s="2"/>
      <c r="G747" s="2" t="n">
        <v>0</v>
      </c>
      <c r="H747" s="2" t="n">
        <v>820</v>
      </c>
      <c r="I747" s="2" t="s">
        <v>26</v>
      </c>
      <c r="J747" s="2" t="n">
        <v>667</v>
      </c>
      <c r="K747" s="2" t="n">
        <v>0</v>
      </c>
      <c r="L747" s="2" t="n">
        <v>24.5</v>
      </c>
      <c r="M747" s="2" t="s">
        <v>158</v>
      </c>
      <c r="N747" s="3" t="n">
        <v>16</v>
      </c>
      <c r="O747" s="3" t="n">
        <v>50.038</v>
      </c>
      <c r="P747" s="3" t="n">
        <v>87.813</v>
      </c>
      <c r="Q747" s="3" t="s">
        <v>1955</v>
      </c>
      <c r="R747" s="2" t="s">
        <v>84</v>
      </c>
      <c r="S747" s="2" t="s">
        <v>432</v>
      </c>
      <c r="T747" s="4" t="n">
        <f aca="false">DATE(VALUE(MID(C747,7,4)),VALUE(MID(C747,4,2)),VALUE(MID(C747,1,2)))+TIME(VALUE(MID(C747,12,2)),VALUE(MID(C747,15,2)),0)</f>
        <v>37891.48125</v>
      </c>
      <c r="U747" s="2" t="str">
        <f aca="false">IF(AND(ISNUMBER(VALUE(MID(A747,7,1))),ISNUMBER(SEARCH("km",A747)),ISNUMBER(SEARCH("of",A747))),"Distance-location","Named-region")</f>
        <v>Named-region</v>
      </c>
      <c r="V747" s="2" t="str">
        <f aca="false">LOWER(M747)</f>
        <v>mwb</v>
      </c>
      <c r="W747" s="5" t="str">
        <f aca="false">IF(COUNTIFS($A$2:$A$1001,A747,$C$2:$C$1001,C747)&gt;1,"Duplicate","Unique")</f>
        <v>Unique</v>
      </c>
    </row>
    <row r="748" customFormat="false" ht="15" hidden="false" customHeight="false" outlineLevel="0" collapsed="false">
      <c r="A748" s="2" t="s">
        <v>1960</v>
      </c>
      <c r="B748" s="3" t="n">
        <v>7.4</v>
      </c>
      <c r="C748" s="2" t="s">
        <v>1961</v>
      </c>
      <c r="D748" s="2" t="n">
        <v>0</v>
      </c>
      <c r="E748" s="2" t="n">
        <v>7</v>
      </c>
      <c r="F748" s="2"/>
      <c r="G748" s="2" t="n">
        <v>0</v>
      </c>
      <c r="H748" s="2" t="n">
        <v>842</v>
      </c>
      <c r="I748" s="2" t="s">
        <v>26</v>
      </c>
      <c r="J748" s="2" t="n">
        <v>514</v>
      </c>
      <c r="K748" s="2" t="n">
        <v>0</v>
      </c>
      <c r="L748" s="2" t="n">
        <v>78.8</v>
      </c>
      <c r="M748" s="2" t="s">
        <v>131</v>
      </c>
      <c r="N748" s="3" t="n">
        <v>33</v>
      </c>
      <c r="O748" s="3" t="n">
        <v>41.774</v>
      </c>
      <c r="P748" s="3" t="n">
        <v>143.593</v>
      </c>
      <c r="Q748" s="3" t="s">
        <v>857</v>
      </c>
      <c r="R748" s="2" t="s">
        <v>84</v>
      </c>
      <c r="S748" s="2"/>
      <c r="T748" s="4" t="n">
        <f aca="false">DATE(VALUE(MID(C748,7,4)),VALUE(MID(C748,4,2)),VALUE(MID(C748,1,2)))+TIME(VALUE(MID(C748,12,2)),VALUE(MID(C748,15,2)),0)</f>
        <v>37889.8805555556</v>
      </c>
      <c r="U748" s="2" t="str">
        <f aca="false">IF(AND(ISNUMBER(VALUE(MID(A748,7,1))),ISNUMBER(SEARCH("km",A748)),ISNUMBER(SEARCH("of",A748))),"Distance-location","Named-region")</f>
        <v>Named-region</v>
      </c>
      <c r="V748" s="2" t="str">
        <f aca="false">LOWER(M748)</f>
        <v>mwc</v>
      </c>
      <c r="W748" s="5" t="str">
        <f aca="false">IF(COUNTIFS($A$2:$A$1001,A748,$C$2:$C$1001,C748)&gt;1,"Duplicate","Unique")</f>
        <v>Unique</v>
      </c>
    </row>
    <row r="749" customFormat="false" ht="15" hidden="false" customHeight="false" outlineLevel="0" collapsed="false">
      <c r="A749" s="2" t="s">
        <v>1962</v>
      </c>
      <c r="B749" s="3" t="n">
        <v>8.16</v>
      </c>
      <c r="C749" s="2" t="s">
        <v>1963</v>
      </c>
      <c r="D749" s="2" t="n">
        <v>0</v>
      </c>
      <c r="E749" s="2" t="n">
        <v>9</v>
      </c>
      <c r="F749" s="2"/>
      <c r="G749" s="2" t="n">
        <v>0</v>
      </c>
      <c r="H749" s="2" t="n">
        <v>1024</v>
      </c>
      <c r="I749" s="2" t="s">
        <v>1297</v>
      </c>
      <c r="J749" s="2" t="n">
        <v>0</v>
      </c>
      <c r="K749" s="2" t="n">
        <v>0</v>
      </c>
      <c r="L749" s="2" t="n">
        <v>0</v>
      </c>
      <c r="M749" s="2" t="s">
        <v>27</v>
      </c>
      <c r="N749" s="3" t="n">
        <v>27</v>
      </c>
      <c r="O749" s="3" t="n">
        <v>41.815</v>
      </c>
      <c r="P749" s="3" t="n">
        <v>143.91</v>
      </c>
      <c r="Q749" s="3" t="s">
        <v>1952</v>
      </c>
      <c r="R749" s="2"/>
      <c r="S749" s="2"/>
      <c r="T749" s="4" t="n">
        <f aca="false">DATE(VALUE(MID(C749,7,4)),VALUE(MID(C749,4,2)),VALUE(MID(C749,1,2)))+TIME(VALUE(MID(C749,12,2)),VALUE(MID(C749,15,2)),0)</f>
        <v>37889.8263888889</v>
      </c>
      <c r="U749" s="2" t="str">
        <f aca="false">IF(AND(ISNUMBER(VALUE(MID(A749,7,1))),ISNUMBER(SEARCH("km",A749)),ISNUMBER(SEARCH("of",A749))),"Distance-location","Named-region")</f>
        <v>Named-region</v>
      </c>
      <c r="V749" s="2" t="str">
        <f aca="false">LOWER(M749)</f>
        <v>mww</v>
      </c>
      <c r="W749" s="5" t="str">
        <f aca="false">IF(COUNTIFS($A$2:$A$1001,A749,$C$2:$C$1001,C749)&gt;1,"Duplicate","Unique")</f>
        <v>Unique</v>
      </c>
    </row>
    <row r="750" customFormat="false" ht="15" hidden="false" customHeight="false" outlineLevel="0" collapsed="false">
      <c r="A750" s="2" t="s">
        <v>1964</v>
      </c>
      <c r="B750" s="3" t="n">
        <v>6.6</v>
      </c>
      <c r="C750" s="2" t="s">
        <v>1965</v>
      </c>
      <c r="D750" s="2" t="n">
        <v>0</v>
      </c>
      <c r="E750" s="2" t="n">
        <v>7</v>
      </c>
      <c r="F750" s="2"/>
      <c r="G750" s="2" t="n">
        <v>0</v>
      </c>
      <c r="H750" s="2" t="n">
        <v>670</v>
      </c>
      <c r="I750" s="2" t="s">
        <v>26</v>
      </c>
      <c r="J750" s="2" t="n">
        <v>518</v>
      </c>
      <c r="K750" s="2" t="n">
        <v>0</v>
      </c>
      <c r="L750" s="2" t="n">
        <v>24.7</v>
      </c>
      <c r="M750" s="2" t="s">
        <v>158</v>
      </c>
      <c r="N750" s="3" t="n">
        <v>10</v>
      </c>
      <c r="O750" s="3" t="n">
        <v>19.917</v>
      </c>
      <c r="P750" s="3" t="n">
        <v>95.672</v>
      </c>
      <c r="Q750" s="3" t="s">
        <v>1966</v>
      </c>
      <c r="R750" s="2" t="s">
        <v>84</v>
      </c>
      <c r="S750" s="2" t="s">
        <v>805</v>
      </c>
      <c r="T750" s="4" t="n">
        <f aca="false">DATE(VALUE(MID(C750,7,4)),VALUE(MID(C750,4,2)),VALUE(MID(C750,1,2)))+TIME(VALUE(MID(C750,12,2)),VALUE(MID(C750,15,2)),0)</f>
        <v>37885.7611111111</v>
      </c>
      <c r="U750" s="2" t="str">
        <f aca="false">IF(AND(ISNUMBER(VALUE(MID(A750,7,1))),ISNUMBER(SEARCH("km",A750)),ISNUMBER(SEARCH("of",A750))),"Distance-location","Named-region")</f>
        <v>Named-region</v>
      </c>
      <c r="V750" s="2" t="str">
        <f aca="false">LOWER(M750)</f>
        <v>mwb</v>
      </c>
      <c r="W750" s="5" t="str">
        <f aca="false">IF(COUNTIFS($A$2:$A$1001,A750,$C$2:$C$1001,C750)&gt;1,"Duplicate","Unique")</f>
        <v>Unique</v>
      </c>
    </row>
    <row r="751" customFormat="false" ht="15" hidden="false" customHeight="false" outlineLevel="0" collapsed="false">
      <c r="A751" s="2" t="s">
        <v>1967</v>
      </c>
      <c r="B751" s="3" t="n">
        <v>7.2</v>
      </c>
      <c r="C751" s="2" t="s">
        <v>1968</v>
      </c>
      <c r="D751" s="2" t="n">
        <v>0</v>
      </c>
      <c r="E751" s="2" t="n">
        <v>7</v>
      </c>
      <c r="F751" s="2"/>
      <c r="G751" s="2" t="n">
        <v>0</v>
      </c>
      <c r="H751" s="2" t="n">
        <v>798</v>
      </c>
      <c r="I751" s="2" t="s">
        <v>26</v>
      </c>
      <c r="J751" s="2" t="n">
        <v>428</v>
      </c>
      <c r="K751" s="2" t="n">
        <v>0</v>
      </c>
      <c r="L751" s="2" t="n">
        <v>17.5</v>
      </c>
      <c r="M751" s="2" t="s">
        <v>131</v>
      </c>
      <c r="N751" s="3" t="n">
        <v>28</v>
      </c>
      <c r="O751" s="3" t="n">
        <v>-45.104</v>
      </c>
      <c r="P751" s="3" t="n">
        <v>167.144</v>
      </c>
      <c r="Q751" s="3" t="s">
        <v>1551</v>
      </c>
      <c r="R751" s="2"/>
      <c r="S751" s="2" t="s">
        <v>778</v>
      </c>
      <c r="T751" s="4" t="n">
        <f aca="false">DATE(VALUE(MID(C751,7,4)),VALUE(MID(C751,4,2)),VALUE(MID(C751,1,2)))+TIME(VALUE(MID(C751,12,2)),VALUE(MID(C751,15,2)),0)</f>
        <v>37854.5083333333</v>
      </c>
      <c r="U751" s="2" t="str">
        <f aca="false">IF(AND(ISNUMBER(VALUE(MID(A751,7,1))),ISNUMBER(SEARCH("km",A751)),ISNUMBER(SEARCH("of",A751))),"Distance-location","Named-region")</f>
        <v>Named-region</v>
      </c>
      <c r="V751" s="2" t="str">
        <f aca="false">LOWER(M751)</f>
        <v>mwc</v>
      </c>
      <c r="W751" s="5" t="str">
        <f aca="false">IF(COUNTIFS($A$2:$A$1001,A751,$C$2:$C$1001,C751)&gt;1,"Duplicate","Unique")</f>
        <v>Unique</v>
      </c>
    </row>
    <row r="752" customFormat="false" ht="28.35" hidden="false" customHeight="false" outlineLevel="0" collapsed="false">
      <c r="A752" s="2" t="s">
        <v>1969</v>
      </c>
      <c r="B752" s="3" t="n">
        <v>7.6</v>
      </c>
      <c r="C752" s="2" t="s">
        <v>1970</v>
      </c>
      <c r="D752" s="2" t="n">
        <v>0</v>
      </c>
      <c r="E752" s="2" t="n">
        <v>6</v>
      </c>
      <c r="F752" s="2"/>
      <c r="G752" s="2" t="n">
        <v>0</v>
      </c>
      <c r="H752" s="2" t="n">
        <v>889</v>
      </c>
      <c r="I752" s="2" t="s">
        <v>26</v>
      </c>
      <c r="J752" s="2" t="n">
        <v>315</v>
      </c>
      <c r="K752" s="2" t="n">
        <v>0</v>
      </c>
      <c r="L752" s="2" t="n">
        <v>25.2</v>
      </c>
      <c r="M752" s="2" t="s">
        <v>131</v>
      </c>
      <c r="N752" s="3" t="n">
        <v>10</v>
      </c>
      <c r="O752" s="3" t="n">
        <v>-60.532</v>
      </c>
      <c r="P752" s="3" t="n">
        <v>-43.411</v>
      </c>
      <c r="Q752" s="3" t="s">
        <v>1112</v>
      </c>
      <c r="R752" s="2"/>
      <c r="S752" s="2" t="s">
        <v>468</v>
      </c>
      <c r="T752" s="4" t="n">
        <f aca="false">DATE(VALUE(MID(C752,7,4)),VALUE(MID(C752,4,2)),VALUE(MID(C752,1,2)))+TIME(VALUE(MID(C752,12,2)),VALUE(MID(C752,15,2)),0)</f>
        <v>37837.1923611111</v>
      </c>
      <c r="U752" s="2" t="str">
        <f aca="false">IF(AND(ISNUMBER(VALUE(MID(A752,7,1))),ISNUMBER(SEARCH("km",A752)),ISNUMBER(SEARCH("of",A752))),"Distance-location","Named-region")</f>
        <v>Named-region</v>
      </c>
      <c r="V752" s="2" t="str">
        <f aca="false">LOWER(M752)</f>
        <v>mwc</v>
      </c>
      <c r="W752" s="5" t="str">
        <f aca="false">IF(COUNTIFS($A$2:$A$1001,A752,$C$2:$C$1001,C752)&gt;1,"Duplicate","Unique")</f>
        <v>Unique</v>
      </c>
    </row>
    <row r="753" customFormat="false" ht="15" hidden="false" customHeight="false" outlineLevel="0" collapsed="false">
      <c r="A753" s="2" t="s">
        <v>1971</v>
      </c>
      <c r="B753" s="3" t="n">
        <v>6.5</v>
      </c>
      <c r="C753" s="2" t="s">
        <v>1972</v>
      </c>
      <c r="D753" s="2" t="n">
        <v>0</v>
      </c>
      <c r="E753" s="2" t="n">
        <v>6</v>
      </c>
      <c r="F753" s="2"/>
      <c r="G753" s="2" t="n">
        <v>0</v>
      </c>
      <c r="H753" s="2" t="n">
        <v>650</v>
      </c>
      <c r="I753" s="2" t="s">
        <v>26</v>
      </c>
      <c r="J753" s="2" t="n">
        <v>156</v>
      </c>
      <c r="K753" s="2" t="n">
        <v>0</v>
      </c>
      <c r="L753" s="2" t="n">
        <v>31.4</v>
      </c>
      <c r="M753" s="2" t="s">
        <v>158</v>
      </c>
      <c r="N753" s="3" t="n">
        <v>33</v>
      </c>
      <c r="O753" s="3" t="n">
        <v>-3.828</v>
      </c>
      <c r="P753" s="3" t="n">
        <v>152.174</v>
      </c>
      <c r="Q753" s="3" t="s">
        <v>801</v>
      </c>
      <c r="R753" s="2"/>
      <c r="S753" s="2" t="s">
        <v>89</v>
      </c>
      <c r="T753" s="4" t="n">
        <f aca="false">DATE(VALUE(MID(C753,7,4)),VALUE(MID(C753,4,2)),VALUE(MID(C753,1,2)))+TIME(VALUE(MID(C753,12,2)),VALUE(MID(C753,15,2)),0)</f>
        <v>37817.7819444445</v>
      </c>
      <c r="U753" s="2" t="str">
        <f aca="false">IF(AND(ISNUMBER(VALUE(MID(A753,7,1))),ISNUMBER(SEARCH("km",A753)),ISNUMBER(SEARCH("of",A753))),"Distance-location","Named-region")</f>
        <v>Named-region</v>
      </c>
      <c r="V753" s="2" t="str">
        <f aca="false">LOWER(M753)</f>
        <v>mwb</v>
      </c>
      <c r="W753" s="5" t="str">
        <f aca="false">IF(COUNTIFS($A$2:$A$1001,A753,$C$2:$C$1001,C753)&gt;1,"Duplicate","Unique")</f>
        <v>Unique</v>
      </c>
    </row>
    <row r="754" customFormat="false" ht="15" hidden="false" customHeight="false" outlineLevel="0" collapsed="false">
      <c r="A754" s="2" t="s">
        <v>1973</v>
      </c>
      <c r="B754" s="3" t="n">
        <v>6.8</v>
      </c>
      <c r="C754" s="2" t="s">
        <v>1974</v>
      </c>
      <c r="D754" s="2" t="n">
        <v>0</v>
      </c>
      <c r="E754" s="2" t="n">
        <v>7</v>
      </c>
      <c r="F754" s="2"/>
      <c r="G754" s="2" t="n">
        <v>0</v>
      </c>
      <c r="H754" s="2" t="n">
        <v>711</v>
      </c>
      <c r="I754" s="2" t="s">
        <v>26</v>
      </c>
      <c r="J754" s="2" t="n">
        <v>398</v>
      </c>
      <c r="K754" s="2" t="n">
        <v>0</v>
      </c>
      <c r="L754" s="2" t="n">
        <v>39.1</v>
      </c>
      <c r="M754" s="2" t="s">
        <v>131</v>
      </c>
      <c r="N754" s="3" t="n">
        <v>33</v>
      </c>
      <c r="O754" s="3" t="n">
        <v>-30.608</v>
      </c>
      <c r="P754" s="3" t="n">
        <v>-71.637</v>
      </c>
      <c r="Q754" s="3" t="s">
        <v>897</v>
      </c>
      <c r="R754" s="2" t="s">
        <v>37</v>
      </c>
      <c r="S754" s="2" t="s">
        <v>377</v>
      </c>
      <c r="T754" s="4" t="n">
        <f aca="false">DATE(VALUE(MID(C754,7,4)),VALUE(MID(C754,4,2)),VALUE(MID(C754,1,2)))+TIME(VALUE(MID(C754,12,2)),VALUE(MID(C754,15,2)),0)</f>
        <v>37792.5625</v>
      </c>
      <c r="U754" s="2" t="str">
        <f aca="false">IF(AND(ISNUMBER(VALUE(MID(A754,7,1))),ISNUMBER(SEARCH("km",A754)),ISNUMBER(SEARCH("of",A754))),"Distance-location","Named-region")</f>
        <v>Named-region</v>
      </c>
      <c r="V754" s="2" t="str">
        <f aca="false">LOWER(M754)</f>
        <v>mwc</v>
      </c>
      <c r="W754" s="5" t="str">
        <f aca="false">IF(COUNTIFS($A$2:$A$1001,A754,$C$2:$C$1001,C754)&gt;1,"Duplicate","Unique")</f>
        <v>Unique</v>
      </c>
    </row>
    <row r="755" customFormat="false" ht="15" hidden="false" customHeight="false" outlineLevel="0" collapsed="false">
      <c r="A755" s="2" t="s">
        <v>1975</v>
      </c>
      <c r="B755" s="3" t="n">
        <v>6.9</v>
      </c>
      <c r="C755" s="2" t="s">
        <v>1976</v>
      </c>
      <c r="D755" s="2" t="n">
        <v>0</v>
      </c>
      <c r="E755" s="2" t="n">
        <v>5</v>
      </c>
      <c r="F755" s="2"/>
      <c r="G755" s="2" t="n">
        <v>0</v>
      </c>
      <c r="H755" s="2" t="n">
        <v>732</v>
      </c>
      <c r="I755" s="2" t="s">
        <v>26</v>
      </c>
      <c r="J755" s="2" t="n">
        <v>733</v>
      </c>
      <c r="K755" s="2" t="n">
        <v>0</v>
      </c>
      <c r="L755" s="2" t="n">
        <v>26.7</v>
      </c>
      <c r="M755" s="2" t="s">
        <v>158</v>
      </c>
      <c r="N755" s="3" t="n">
        <v>174.8</v>
      </c>
      <c r="O755" s="3" t="n">
        <v>55.492</v>
      </c>
      <c r="P755" s="3" t="n">
        <v>159.999</v>
      </c>
      <c r="Q755" s="3" t="s">
        <v>1910</v>
      </c>
      <c r="R755" s="2" t="s">
        <v>84</v>
      </c>
      <c r="S755" s="2" t="s">
        <v>432</v>
      </c>
      <c r="T755" s="4" t="n">
        <f aca="false">DATE(VALUE(MID(C755,7,4)),VALUE(MID(C755,4,2)),VALUE(MID(C755,1,2)))+TIME(VALUE(MID(C755,12,2)),VALUE(MID(C755,15,2)),0)</f>
        <v>37788.9222222222</v>
      </c>
      <c r="U755" s="2" t="str">
        <f aca="false">IF(AND(ISNUMBER(VALUE(MID(A755,7,1))),ISNUMBER(SEARCH("km",A755)),ISNUMBER(SEARCH("of",A755))),"Distance-location","Named-region")</f>
        <v>Named-region</v>
      </c>
      <c r="V755" s="2" t="str">
        <f aca="false">LOWER(M755)</f>
        <v>mwb</v>
      </c>
      <c r="W755" s="5" t="str">
        <f aca="false">IF(COUNTIFS($A$2:$A$1001,A755,$C$2:$C$1001,C755)&gt;1,"Duplicate","Unique")</f>
        <v>Unique</v>
      </c>
    </row>
    <row r="756" customFormat="false" ht="15" hidden="false" customHeight="false" outlineLevel="0" collapsed="false">
      <c r="A756" s="2" t="s">
        <v>1977</v>
      </c>
      <c r="B756" s="3" t="n">
        <v>6.6</v>
      </c>
      <c r="C756" s="2" t="s">
        <v>1978</v>
      </c>
      <c r="D756" s="2" t="n">
        <v>0</v>
      </c>
      <c r="E756" s="2" t="n">
        <v>6</v>
      </c>
      <c r="F756" s="2"/>
      <c r="G756" s="2" t="n">
        <v>0</v>
      </c>
      <c r="H756" s="2" t="n">
        <v>670</v>
      </c>
      <c r="I756" s="2" t="s">
        <v>26</v>
      </c>
      <c r="J756" s="2" t="n">
        <v>419</v>
      </c>
      <c r="K756" s="2" t="n">
        <v>0</v>
      </c>
      <c r="L756" s="2" t="n">
        <v>27.8</v>
      </c>
      <c r="M756" s="2" t="s">
        <v>131</v>
      </c>
      <c r="N756" s="3" t="n">
        <v>33</v>
      </c>
      <c r="O756" s="3" t="n">
        <v>-5.095</v>
      </c>
      <c r="P756" s="3" t="n">
        <v>152.502</v>
      </c>
      <c r="Q756" s="3" t="s">
        <v>629</v>
      </c>
      <c r="R756" s="2"/>
      <c r="S756" s="2" t="s">
        <v>89</v>
      </c>
      <c r="T756" s="4" t="n">
        <f aca="false">DATE(VALUE(MID(C756,7,4)),VALUE(MID(C756,4,2)),VALUE(MID(C756,1,2)))+TIME(VALUE(MID(C756,12,2)),VALUE(MID(C756,15,2)),0)</f>
        <v>37779.0222222222</v>
      </c>
      <c r="U756" s="2" t="str">
        <f aca="false">IF(AND(ISNUMBER(VALUE(MID(A756,7,1))),ISNUMBER(SEARCH("km",A756)),ISNUMBER(SEARCH("of",A756))),"Distance-location","Named-region")</f>
        <v>Named-region</v>
      </c>
      <c r="V756" s="2" t="str">
        <f aca="false">LOWER(M756)</f>
        <v>mwc</v>
      </c>
      <c r="W756" s="5" t="str">
        <f aca="false">IF(COUNTIFS($A$2:$A$1001,A756,$C$2:$C$1001,C756)&gt;1,"Duplicate","Unique")</f>
        <v>Unique</v>
      </c>
    </row>
    <row r="757" customFormat="false" ht="15" hidden="false" customHeight="false" outlineLevel="0" collapsed="false">
      <c r="A757" s="2" t="s">
        <v>1979</v>
      </c>
      <c r="B757" s="3" t="n">
        <v>7</v>
      </c>
      <c r="C757" s="2" t="s">
        <v>1980</v>
      </c>
      <c r="D757" s="2" t="n">
        <v>0</v>
      </c>
      <c r="E757" s="2" t="n">
        <v>6</v>
      </c>
      <c r="F757" s="2"/>
      <c r="G757" s="2" t="n">
        <v>0</v>
      </c>
      <c r="H757" s="2" t="n">
        <v>754</v>
      </c>
      <c r="I757" s="2" t="s">
        <v>26</v>
      </c>
      <c r="J757" s="2" t="n">
        <v>473</v>
      </c>
      <c r="K757" s="2" t="n">
        <v>0</v>
      </c>
      <c r="L757" s="2" t="n">
        <v>30.3</v>
      </c>
      <c r="M757" s="2" t="s">
        <v>131</v>
      </c>
      <c r="N757" s="3" t="n">
        <v>31</v>
      </c>
      <c r="O757" s="3" t="n">
        <v>2.354</v>
      </c>
      <c r="P757" s="3" t="n">
        <v>128.855</v>
      </c>
      <c r="Q757" s="3" t="s">
        <v>132</v>
      </c>
      <c r="R757" s="2"/>
      <c r="S757" s="2" t="s">
        <v>72</v>
      </c>
      <c r="T757" s="4" t="n">
        <f aca="false">DATE(VALUE(MID(C757,7,4)),VALUE(MID(C757,4,2)),VALUE(MID(C757,1,2)))+TIME(VALUE(MID(C757,12,2)),VALUE(MID(C757,15,2)),0)</f>
        <v>37767.8076388889</v>
      </c>
      <c r="U757" s="2" t="str">
        <f aca="false">IF(AND(ISNUMBER(VALUE(MID(A757,7,1))),ISNUMBER(SEARCH("km",A757)),ISNUMBER(SEARCH("of",A757))),"Distance-location","Named-region")</f>
        <v>Named-region</v>
      </c>
      <c r="V757" s="2" t="str">
        <f aca="false">LOWER(M757)</f>
        <v>mwc</v>
      </c>
      <c r="W757" s="5" t="str">
        <f aca="false">IF(COUNTIFS($A$2:$A$1001,A757,$C$2:$C$1001,C757)&gt;1,"Duplicate","Unique")</f>
        <v>Unique</v>
      </c>
    </row>
    <row r="758" customFormat="false" ht="15" hidden="false" customHeight="false" outlineLevel="0" collapsed="false">
      <c r="A758" s="2" t="s">
        <v>1981</v>
      </c>
      <c r="B758" s="3" t="n">
        <v>7</v>
      </c>
      <c r="C758" s="2" t="s">
        <v>1982</v>
      </c>
      <c r="D758" s="2" t="n">
        <v>0</v>
      </c>
      <c r="E758" s="2" t="n">
        <v>7</v>
      </c>
      <c r="F758" s="2"/>
      <c r="G758" s="2" t="n">
        <v>0</v>
      </c>
      <c r="H758" s="2" t="n">
        <v>754</v>
      </c>
      <c r="I758" s="2" t="s">
        <v>26</v>
      </c>
      <c r="J758" s="2" t="n">
        <v>690</v>
      </c>
      <c r="K758" s="2" t="n">
        <v>0</v>
      </c>
      <c r="L758" s="2" t="n">
        <v>19.1</v>
      </c>
      <c r="M758" s="2" t="s">
        <v>158</v>
      </c>
      <c r="N758" s="3" t="n">
        <v>68</v>
      </c>
      <c r="O758" s="3" t="n">
        <v>38.849</v>
      </c>
      <c r="P758" s="3" t="n">
        <v>141.568</v>
      </c>
      <c r="Q758" s="3" t="s">
        <v>957</v>
      </c>
      <c r="R758" s="2" t="s">
        <v>84</v>
      </c>
      <c r="S758" s="2" t="s">
        <v>326</v>
      </c>
      <c r="T758" s="4" t="n">
        <f aca="false">DATE(VALUE(MID(C758,7,4)),VALUE(MID(C758,4,2)),VALUE(MID(C758,1,2)))+TIME(VALUE(MID(C758,12,2)),VALUE(MID(C758,15,2)),0)</f>
        <v>37767.3916666667</v>
      </c>
      <c r="U758" s="2" t="str">
        <f aca="false">IF(AND(ISNUMBER(VALUE(MID(A758,7,1))),ISNUMBER(SEARCH("km",A758)),ISNUMBER(SEARCH("of",A758))),"Distance-location","Named-region")</f>
        <v>Named-region</v>
      </c>
      <c r="V758" s="2" t="str">
        <f aca="false">LOWER(M758)</f>
        <v>mwb</v>
      </c>
      <c r="W758" s="5" t="str">
        <f aca="false">IF(COUNTIFS($A$2:$A$1001,A758,$C$2:$C$1001,C758)&gt;1,"Duplicate","Unique")</f>
        <v>Unique</v>
      </c>
    </row>
    <row r="759" customFormat="false" ht="15" hidden="false" customHeight="false" outlineLevel="0" collapsed="false">
      <c r="A759" s="2" t="s">
        <v>1983</v>
      </c>
      <c r="B759" s="3" t="n">
        <v>6.8</v>
      </c>
      <c r="C759" s="2" t="s">
        <v>1984</v>
      </c>
      <c r="D759" s="2" t="n">
        <v>0</v>
      </c>
      <c r="E759" s="2" t="n">
        <v>9</v>
      </c>
      <c r="F759" s="2"/>
      <c r="G759" s="2" t="n">
        <v>0</v>
      </c>
      <c r="H759" s="2" t="n">
        <v>711</v>
      </c>
      <c r="I759" s="2" t="s">
        <v>26</v>
      </c>
      <c r="J759" s="2" t="n">
        <v>534</v>
      </c>
      <c r="K759" s="2" t="n">
        <v>0</v>
      </c>
      <c r="L759" s="2" t="n">
        <v>19.4</v>
      </c>
      <c r="M759" s="2" t="s">
        <v>131</v>
      </c>
      <c r="N759" s="3" t="n">
        <v>12</v>
      </c>
      <c r="O759" s="3" t="n">
        <v>36.964</v>
      </c>
      <c r="P759" s="3" t="n">
        <v>3.634</v>
      </c>
      <c r="Q759" s="3" t="s">
        <v>1985</v>
      </c>
      <c r="R759" s="2"/>
      <c r="S759" s="2" t="s">
        <v>1986</v>
      </c>
      <c r="T759" s="4" t="n">
        <f aca="false">DATE(VALUE(MID(C759,7,4)),VALUE(MID(C759,4,2)),VALUE(MID(C759,1,2)))+TIME(VALUE(MID(C759,12,2)),VALUE(MID(C759,15,2)),0)</f>
        <v>37762.7805555556</v>
      </c>
      <c r="U759" s="2" t="str">
        <f aca="false">IF(AND(ISNUMBER(VALUE(MID(A759,7,1))),ISNUMBER(SEARCH("km",A759)),ISNUMBER(SEARCH("of",A759))),"Distance-location","Named-region")</f>
        <v>Named-region</v>
      </c>
      <c r="V759" s="2" t="str">
        <f aca="false">LOWER(M759)</f>
        <v>mwc</v>
      </c>
      <c r="W759" s="5" t="str">
        <f aca="false">IF(COUNTIFS($A$2:$A$1001,A759,$C$2:$C$1001,C759)&gt;1,"Duplicate","Unique")</f>
        <v>Unique</v>
      </c>
    </row>
    <row r="760" customFormat="false" ht="15" hidden="false" customHeight="false" outlineLevel="0" collapsed="false">
      <c r="A760" s="2" t="s">
        <v>1987</v>
      </c>
      <c r="B760" s="3" t="n">
        <v>6.5</v>
      </c>
      <c r="C760" s="2" t="s">
        <v>1988</v>
      </c>
      <c r="D760" s="2" t="n">
        <v>0</v>
      </c>
      <c r="E760" s="2" t="n">
        <v>7</v>
      </c>
      <c r="F760" s="2"/>
      <c r="G760" s="2" t="n">
        <v>0</v>
      </c>
      <c r="H760" s="2" t="n">
        <v>650</v>
      </c>
      <c r="I760" s="2" t="s">
        <v>26</v>
      </c>
      <c r="J760" s="2" t="n">
        <v>247</v>
      </c>
      <c r="K760" s="2" t="n">
        <v>0</v>
      </c>
      <c r="L760" s="2" t="n">
        <v>28.7</v>
      </c>
      <c r="M760" s="2" t="s">
        <v>131</v>
      </c>
      <c r="N760" s="3" t="n">
        <v>33</v>
      </c>
      <c r="O760" s="3" t="n">
        <v>-8.294</v>
      </c>
      <c r="P760" s="3" t="n">
        <v>120.743</v>
      </c>
      <c r="Q760" s="3" t="s">
        <v>1989</v>
      </c>
      <c r="R760" s="2"/>
      <c r="S760" s="2" t="s">
        <v>72</v>
      </c>
      <c r="T760" s="4" t="n">
        <f aca="false">DATE(VALUE(MID(C760,7,4)),VALUE(MID(C760,4,2)),VALUE(MID(C760,1,2)))+TIME(VALUE(MID(C760,12,2)),VALUE(MID(C760,15,2)),0)</f>
        <v>37705.1201388889</v>
      </c>
      <c r="U760" s="2" t="str">
        <f aca="false">IF(AND(ISNUMBER(VALUE(MID(A760,7,1))),ISNUMBER(SEARCH("km",A760)),ISNUMBER(SEARCH("of",A760))),"Distance-location","Named-region")</f>
        <v>Named-region</v>
      </c>
      <c r="V760" s="2" t="str">
        <f aca="false">LOWER(M760)</f>
        <v>mwc</v>
      </c>
      <c r="W760" s="5" t="str">
        <f aca="false">IF(COUNTIFS($A$2:$A$1001,A760,$C$2:$C$1001,C760)&gt;1,"Duplicate","Unique")</f>
        <v>Unique</v>
      </c>
    </row>
    <row r="761" customFormat="false" ht="15" hidden="false" customHeight="false" outlineLevel="0" collapsed="false">
      <c r="A761" s="2" t="s">
        <v>1990</v>
      </c>
      <c r="B761" s="3" t="n">
        <v>6.8</v>
      </c>
      <c r="C761" s="2" t="s">
        <v>1991</v>
      </c>
      <c r="D761" s="2" t="n">
        <v>0</v>
      </c>
      <c r="E761" s="2" t="n">
        <v>7</v>
      </c>
      <c r="F761" s="2"/>
      <c r="G761" s="2" t="n">
        <v>0</v>
      </c>
      <c r="H761" s="2" t="n">
        <v>711</v>
      </c>
      <c r="I761" s="2" t="s">
        <v>26</v>
      </c>
      <c r="J761" s="2" t="n">
        <v>431</v>
      </c>
      <c r="K761" s="2" t="n">
        <v>0</v>
      </c>
      <c r="L761" s="2" t="n">
        <v>38.4</v>
      </c>
      <c r="M761" s="2" t="s">
        <v>131</v>
      </c>
      <c r="N761" s="3" t="n">
        <v>40.2</v>
      </c>
      <c r="O761" s="3" t="n">
        <v>-4.694</v>
      </c>
      <c r="P761" s="3" t="n">
        <v>153.238</v>
      </c>
      <c r="Q761" s="3" t="s">
        <v>629</v>
      </c>
      <c r="R761" s="2"/>
      <c r="S761" s="2" t="s">
        <v>89</v>
      </c>
      <c r="T761" s="4" t="n">
        <f aca="false">DATE(VALUE(MID(C761,7,4)),VALUE(MID(C761,4,2)),VALUE(MID(C761,1,2)))+TIME(VALUE(MID(C761,12,2)),VALUE(MID(C761,15,2)),0)</f>
        <v>37691.3104166667</v>
      </c>
      <c r="U761" s="2" t="str">
        <f aca="false">IF(AND(ISNUMBER(VALUE(MID(A761,7,1))),ISNUMBER(SEARCH("km",A761)),ISNUMBER(SEARCH("of",A761))),"Distance-location","Named-region")</f>
        <v>Named-region</v>
      </c>
      <c r="V761" s="2" t="str">
        <f aca="false">LOWER(M761)</f>
        <v>mwc</v>
      </c>
      <c r="W761" s="5" t="str">
        <f aca="false">IF(COUNTIFS($A$2:$A$1001,A761,$C$2:$C$1001,C761)&gt;1,"Duplicate","Unique")</f>
        <v>Unique</v>
      </c>
    </row>
    <row r="762" customFormat="false" ht="15" hidden="false" customHeight="false" outlineLevel="0" collapsed="false">
      <c r="A762" s="2" t="s">
        <v>1992</v>
      </c>
      <c r="B762" s="3" t="n">
        <v>7.6</v>
      </c>
      <c r="C762" s="2" t="s">
        <v>1993</v>
      </c>
      <c r="D762" s="2" t="n">
        <v>0</v>
      </c>
      <c r="E762" s="2" t="n">
        <v>7</v>
      </c>
      <c r="F762" s="2"/>
      <c r="G762" s="2" t="n">
        <v>0</v>
      </c>
      <c r="H762" s="2" t="n">
        <v>889</v>
      </c>
      <c r="I762" s="2" t="s">
        <v>26</v>
      </c>
      <c r="J762" s="2" t="n">
        <v>551</v>
      </c>
      <c r="K762" s="2" t="n">
        <v>0</v>
      </c>
      <c r="L762" s="2" t="n">
        <v>0</v>
      </c>
      <c r="M762" s="2" t="s">
        <v>158</v>
      </c>
      <c r="N762" s="3" t="n">
        <v>24</v>
      </c>
      <c r="O762" s="3" t="n">
        <v>18.77</v>
      </c>
      <c r="P762" s="3" t="n">
        <v>-104.104</v>
      </c>
      <c r="Q762" s="3" t="s">
        <v>1994</v>
      </c>
      <c r="R762" s="2" t="s">
        <v>168</v>
      </c>
      <c r="S762" s="2" t="s">
        <v>169</v>
      </c>
      <c r="T762" s="4" t="n">
        <f aca="false">DATE(VALUE(MID(C762,7,4)),VALUE(MID(C762,4,2)),VALUE(MID(C762,1,2)))+TIME(VALUE(MID(C762,12,2)),VALUE(MID(C762,15,2)),0)</f>
        <v>37643.0875</v>
      </c>
      <c r="U762" s="2" t="str">
        <f aca="false">IF(AND(ISNUMBER(VALUE(MID(A762,7,1))),ISNUMBER(SEARCH("km",A762)),ISNUMBER(SEARCH("of",A762))),"Distance-location","Named-region")</f>
        <v>Named-region</v>
      </c>
      <c r="V762" s="2" t="str">
        <f aca="false">LOWER(M762)</f>
        <v>mwb</v>
      </c>
      <c r="W762" s="5" t="str">
        <f aca="false">IF(COUNTIFS($A$2:$A$1001,A762,$C$2:$C$1001,C762)&gt;1,"Duplicate","Unique")</f>
        <v>Unique</v>
      </c>
    </row>
    <row r="763" customFormat="false" ht="15" hidden="false" customHeight="false" outlineLevel="0" collapsed="false">
      <c r="A763" s="2" t="s">
        <v>1995</v>
      </c>
      <c r="B763" s="3" t="n">
        <v>6.5</v>
      </c>
      <c r="C763" s="2" t="s">
        <v>1996</v>
      </c>
      <c r="D763" s="2" t="n">
        <v>0</v>
      </c>
      <c r="E763" s="2" t="n">
        <v>6</v>
      </c>
      <c r="F763" s="2"/>
      <c r="G763" s="2" t="n">
        <v>0</v>
      </c>
      <c r="H763" s="2" t="n">
        <v>650</v>
      </c>
      <c r="I763" s="2" t="s">
        <v>26</v>
      </c>
      <c r="J763" s="2" t="n">
        <v>316</v>
      </c>
      <c r="K763" s="2" t="n">
        <v>0</v>
      </c>
      <c r="L763" s="2" t="n">
        <v>0</v>
      </c>
      <c r="M763" s="2" t="s">
        <v>131</v>
      </c>
      <c r="N763" s="3" t="n">
        <v>24</v>
      </c>
      <c r="O763" s="3" t="n">
        <v>13.626</v>
      </c>
      <c r="P763" s="3" t="n">
        <v>-90.774</v>
      </c>
      <c r="Q763" s="3" t="s">
        <v>703</v>
      </c>
      <c r="R763" s="2"/>
      <c r="S763" s="2"/>
      <c r="T763" s="4" t="n">
        <f aca="false">DATE(VALUE(MID(C763,7,4)),VALUE(MID(C763,4,2)),VALUE(MID(C763,1,2)))+TIME(VALUE(MID(C763,12,2)),VALUE(MID(C763,15,2)),0)</f>
        <v>37642.1152777778</v>
      </c>
      <c r="U763" s="2" t="str">
        <f aca="false">IF(AND(ISNUMBER(VALUE(MID(A763,7,1))),ISNUMBER(SEARCH("km",A763)),ISNUMBER(SEARCH("of",A763))),"Distance-location","Named-region")</f>
        <v>Named-region</v>
      </c>
      <c r="V763" s="2" t="str">
        <f aca="false">LOWER(M763)</f>
        <v>mwc</v>
      </c>
      <c r="W763" s="5" t="str">
        <f aca="false">IF(COUNTIFS($A$2:$A$1001,A763,$C$2:$C$1001,C763)&gt;1,"Duplicate","Unique")</f>
        <v>Unique</v>
      </c>
    </row>
    <row r="764" customFormat="false" ht="15" hidden="false" customHeight="false" outlineLevel="0" collapsed="false">
      <c r="A764" s="2" t="s">
        <v>1997</v>
      </c>
      <c r="B764" s="3" t="n">
        <v>7.3</v>
      </c>
      <c r="C764" s="2" t="s">
        <v>1998</v>
      </c>
      <c r="D764" s="2" t="n">
        <v>0</v>
      </c>
      <c r="E764" s="2" t="n">
        <v>6</v>
      </c>
      <c r="F764" s="2"/>
      <c r="G764" s="2" t="n">
        <v>0</v>
      </c>
      <c r="H764" s="2" t="n">
        <v>820</v>
      </c>
      <c r="I764" s="2" t="s">
        <v>26</v>
      </c>
      <c r="J764" s="2" t="n">
        <v>457</v>
      </c>
      <c r="K764" s="2" t="n">
        <v>0</v>
      </c>
      <c r="L764" s="2" t="n">
        <v>0</v>
      </c>
      <c r="M764" s="2" t="s">
        <v>131</v>
      </c>
      <c r="N764" s="3" t="n">
        <v>33</v>
      </c>
      <c r="O764" s="3" t="n">
        <v>-10.491</v>
      </c>
      <c r="P764" s="3" t="n">
        <v>160.77</v>
      </c>
      <c r="Q764" s="3" t="s">
        <v>585</v>
      </c>
      <c r="R764" s="2"/>
      <c r="S764" s="2"/>
      <c r="T764" s="4" t="n">
        <f aca="false">DATE(VALUE(MID(C764,7,4)),VALUE(MID(C764,4,2)),VALUE(MID(C764,1,2)))+TIME(VALUE(MID(C764,12,2)),VALUE(MID(C764,15,2)),0)</f>
        <v>37641.3631944444</v>
      </c>
      <c r="U764" s="2" t="str">
        <f aca="false">IF(AND(ISNUMBER(VALUE(MID(A764,7,1))),ISNUMBER(SEARCH("km",A764)),ISNUMBER(SEARCH("of",A764))),"Distance-location","Named-region")</f>
        <v>Named-region</v>
      </c>
      <c r="V764" s="2" t="str">
        <f aca="false">LOWER(M764)</f>
        <v>mwc</v>
      </c>
      <c r="W764" s="5" t="str">
        <f aca="false">IF(COUNTIFS($A$2:$A$1001,A764,$C$2:$C$1001,C764)&gt;1,"Duplicate","Unique")</f>
        <v>Unique</v>
      </c>
    </row>
    <row r="765" customFormat="false" ht="15" hidden="false" customHeight="false" outlineLevel="0" collapsed="false">
      <c r="A765" s="2" t="s">
        <v>1999</v>
      </c>
      <c r="B765" s="3" t="n">
        <v>6.7</v>
      </c>
      <c r="C765" s="2" t="s">
        <v>2000</v>
      </c>
      <c r="D765" s="2" t="n">
        <v>0</v>
      </c>
      <c r="E765" s="2" t="n">
        <v>5</v>
      </c>
      <c r="F765" s="2"/>
      <c r="G765" s="2" t="n">
        <v>0</v>
      </c>
      <c r="H765" s="2" t="n">
        <v>691</v>
      </c>
      <c r="I765" s="2" t="s">
        <v>26</v>
      </c>
      <c r="J765" s="2" t="n">
        <v>323</v>
      </c>
      <c r="K765" s="2" t="n">
        <v>0</v>
      </c>
      <c r="L765" s="2" t="n">
        <v>0</v>
      </c>
      <c r="M765" s="2" t="s">
        <v>158</v>
      </c>
      <c r="N765" s="3" t="n">
        <v>71.9</v>
      </c>
      <c r="O765" s="3" t="n">
        <v>-5.311</v>
      </c>
      <c r="P765" s="3" t="n">
        <v>153.701</v>
      </c>
      <c r="Q765" s="3" t="s">
        <v>629</v>
      </c>
      <c r="R765" s="2"/>
      <c r="S765" s="2"/>
      <c r="T765" s="4" t="n">
        <f aca="false">DATE(VALUE(MID(C765,7,4)),VALUE(MID(C765,4,2)),VALUE(MID(C765,1,2)))+TIME(VALUE(MID(C765,12,2)),VALUE(MID(C765,15,2)),0)</f>
        <v>37631.5493055556</v>
      </c>
      <c r="U765" s="2" t="str">
        <f aca="false">IF(AND(ISNUMBER(VALUE(MID(A765,7,1))),ISNUMBER(SEARCH("km",A765)),ISNUMBER(SEARCH("of",A765))),"Distance-location","Named-region")</f>
        <v>Named-region</v>
      </c>
      <c r="V765" s="2" t="str">
        <f aca="false">LOWER(M765)</f>
        <v>mwb</v>
      </c>
      <c r="W765" s="5" t="str">
        <f aca="false">IF(COUNTIFS($A$2:$A$1001,A765,$C$2:$C$1001,C765)&gt;1,"Duplicate","Unique")</f>
        <v>Unique</v>
      </c>
    </row>
    <row r="766" customFormat="false" ht="28.35" hidden="false" customHeight="false" outlineLevel="0" collapsed="false">
      <c r="A766" s="2" t="s">
        <v>2001</v>
      </c>
      <c r="B766" s="3" t="n">
        <v>6.7</v>
      </c>
      <c r="C766" s="2" t="s">
        <v>2002</v>
      </c>
      <c r="D766" s="2" t="n">
        <v>0</v>
      </c>
      <c r="E766" s="2" t="n">
        <v>6</v>
      </c>
      <c r="F766" s="2"/>
      <c r="G766" s="2" t="n">
        <v>0</v>
      </c>
      <c r="H766" s="2" t="n">
        <v>691</v>
      </c>
      <c r="I766" s="2" t="s">
        <v>26</v>
      </c>
      <c r="J766" s="2" t="n">
        <v>453</v>
      </c>
      <c r="K766" s="2" t="n">
        <v>0</v>
      </c>
      <c r="L766" s="2" t="n">
        <v>0</v>
      </c>
      <c r="M766" s="2" t="s">
        <v>158</v>
      </c>
      <c r="N766" s="3" t="n">
        <v>34</v>
      </c>
      <c r="O766" s="3" t="n">
        <v>-4.786</v>
      </c>
      <c r="P766" s="3" t="n">
        <v>153.275</v>
      </c>
      <c r="Q766" s="3" t="s">
        <v>2003</v>
      </c>
      <c r="R766" s="2"/>
      <c r="S766" s="2" t="s">
        <v>89</v>
      </c>
      <c r="T766" s="4" t="n">
        <f aca="false">DATE(VALUE(MID(C766,7,4)),VALUE(MID(C766,4,2)),VALUE(MID(C766,1,2)))+TIME(VALUE(MID(C766,12,2)),VALUE(MID(C766,15,2)),0)</f>
        <v>37602.3541666667</v>
      </c>
      <c r="U766" s="2" t="str">
        <f aca="false">IF(AND(ISNUMBER(VALUE(MID(A766,7,1))),ISNUMBER(SEARCH("km",A766)),ISNUMBER(SEARCH("of",A766))),"Distance-location","Named-region")</f>
        <v>Named-region</v>
      </c>
      <c r="V766" s="2" t="str">
        <f aca="false">LOWER(M766)</f>
        <v>mwb</v>
      </c>
      <c r="W766" s="5" t="str">
        <f aca="false">IF(COUNTIFS($A$2:$A$1001,A766,$C$2:$C$1001,C766)&gt;1,"Duplicate","Unique")</f>
        <v>Unique</v>
      </c>
    </row>
    <row r="767" customFormat="false" ht="15" hidden="false" customHeight="false" outlineLevel="0" collapsed="false">
      <c r="A767" s="2" t="s">
        <v>2004</v>
      </c>
      <c r="B767" s="3" t="n">
        <v>7.9</v>
      </c>
      <c r="C767" s="2" t="s">
        <v>2005</v>
      </c>
      <c r="D767" s="2" t="n">
        <v>8</v>
      </c>
      <c r="E767" s="2" t="n">
        <v>9</v>
      </c>
      <c r="F767" s="2"/>
      <c r="G767" s="2" t="n">
        <v>0</v>
      </c>
      <c r="H767" s="2" t="n">
        <v>1750</v>
      </c>
      <c r="I767" s="2" t="s">
        <v>263</v>
      </c>
      <c r="J767" s="2" t="n">
        <v>0</v>
      </c>
      <c r="K767" s="2" t="n">
        <v>0</v>
      </c>
      <c r="L767" s="2" t="n">
        <v>0</v>
      </c>
      <c r="M767" s="2" t="s">
        <v>489</v>
      </c>
      <c r="N767" s="3" t="n">
        <v>4.2</v>
      </c>
      <c r="O767" s="3" t="n">
        <v>63.5141</v>
      </c>
      <c r="P767" s="3" t="n">
        <v>-147.453</v>
      </c>
      <c r="Q767" s="3" t="s">
        <v>2006</v>
      </c>
      <c r="R767" s="2" t="s">
        <v>168</v>
      </c>
      <c r="S767" s="2" t="s">
        <v>265</v>
      </c>
      <c r="T767" s="4" t="n">
        <f aca="false">DATE(VALUE(MID(C767,7,4)),VALUE(MID(C767,4,2)),VALUE(MID(C767,1,2)))+TIME(VALUE(MID(C767,12,2)),VALUE(MID(C767,15,2)),0)</f>
        <v>37563.925</v>
      </c>
      <c r="U767" s="2" t="str">
        <f aca="false">IF(AND(ISNUMBER(VALUE(MID(A767,7,1))),ISNUMBER(SEARCH("km",A767)),ISNUMBER(SEARCH("of",A767))),"Distance-location","Named-region")</f>
        <v>Named-region</v>
      </c>
      <c r="V767" s="2" t="str">
        <f aca="false">LOWER(M767)</f>
        <v>mw</v>
      </c>
      <c r="W767" s="5" t="str">
        <f aca="false">IF(COUNTIFS($A$2:$A$1001,A767,$C$2:$C$1001,C767)&gt;1,"Duplicate","Unique")</f>
        <v>Unique</v>
      </c>
    </row>
    <row r="768" customFormat="false" ht="15" hidden="false" customHeight="false" outlineLevel="0" collapsed="false">
      <c r="A768" s="2" t="s">
        <v>2007</v>
      </c>
      <c r="B768" s="3" t="n">
        <v>7.4</v>
      </c>
      <c r="C768" s="2" t="s">
        <v>2008</v>
      </c>
      <c r="D768" s="2" t="n">
        <v>0</v>
      </c>
      <c r="E768" s="2" t="n">
        <v>7</v>
      </c>
      <c r="F768" s="2"/>
      <c r="G768" s="2" t="n">
        <v>0</v>
      </c>
      <c r="H768" s="2" t="n">
        <v>842</v>
      </c>
      <c r="I768" s="2" t="s">
        <v>26</v>
      </c>
      <c r="J768" s="2" t="n">
        <v>418</v>
      </c>
      <c r="K768" s="2" t="n">
        <v>0</v>
      </c>
      <c r="L768" s="2" t="n">
        <v>0</v>
      </c>
      <c r="M768" s="2" t="s">
        <v>158</v>
      </c>
      <c r="N768" s="3" t="n">
        <v>30</v>
      </c>
      <c r="O768" s="3" t="n">
        <v>2.824</v>
      </c>
      <c r="P768" s="3" t="n">
        <v>96.085</v>
      </c>
      <c r="Q768" s="3" t="s">
        <v>321</v>
      </c>
      <c r="R768" s="2"/>
      <c r="S768" s="2" t="s">
        <v>72</v>
      </c>
      <c r="T768" s="4" t="n">
        <f aca="false">DATE(VALUE(MID(C768,7,4)),VALUE(MID(C768,4,2)),VALUE(MID(C768,1,2)))+TIME(VALUE(MID(C768,12,2)),VALUE(MID(C768,15,2)),0)</f>
        <v>37562.0597222222</v>
      </c>
      <c r="U768" s="2" t="str">
        <f aca="false">IF(AND(ISNUMBER(VALUE(MID(A768,7,1))),ISNUMBER(SEARCH("km",A768)),ISNUMBER(SEARCH("of",A768))),"Distance-location","Named-region")</f>
        <v>Named-region</v>
      </c>
      <c r="V768" s="2" t="str">
        <f aca="false">LOWER(M768)</f>
        <v>mwb</v>
      </c>
      <c r="W768" s="5" t="str">
        <f aca="false">IF(COUNTIFS($A$2:$A$1001,A768,$C$2:$C$1001,C768)&gt;1,"Duplicate","Unique")</f>
        <v>Unique</v>
      </c>
    </row>
    <row r="769" customFormat="false" ht="15" hidden="false" customHeight="false" outlineLevel="0" collapsed="false">
      <c r="A769" s="2" t="s">
        <v>2009</v>
      </c>
      <c r="B769" s="3" t="n">
        <v>6.6</v>
      </c>
      <c r="C769" s="2" t="s">
        <v>2010</v>
      </c>
      <c r="D769" s="2" t="n">
        <v>0</v>
      </c>
      <c r="E769" s="2" t="n">
        <v>7</v>
      </c>
      <c r="F769" s="2"/>
      <c r="G769" s="2" t="n">
        <v>0</v>
      </c>
      <c r="H769" s="2" t="n">
        <v>670</v>
      </c>
      <c r="I769" s="2" t="s">
        <v>263</v>
      </c>
      <c r="J769" s="2" t="n">
        <v>0</v>
      </c>
      <c r="K769" s="2" t="n">
        <v>0</v>
      </c>
      <c r="L769" s="2" t="n">
        <v>0</v>
      </c>
      <c r="M769" s="2" t="s">
        <v>489</v>
      </c>
      <c r="N769" s="3" t="n">
        <v>4.2</v>
      </c>
      <c r="O769" s="3" t="n">
        <v>63.5144</v>
      </c>
      <c r="P769" s="3" t="n">
        <v>-147.912</v>
      </c>
      <c r="Q769" s="3" t="s">
        <v>2006</v>
      </c>
      <c r="R769" s="2" t="s">
        <v>168</v>
      </c>
      <c r="S769" s="2" t="s">
        <v>265</v>
      </c>
      <c r="T769" s="4" t="n">
        <f aca="false">DATE(VALUE(MID(C769,7,4)),VALUE(MID(C769,4,2)),VALUE(MID(C769,1,2)))+TIME(VALUE(MID(C769,12,2)),VALUE(MID(C769,15,2)),0)</f>
        <v>37552.4770833333</v>
      </c>
      <c r="U769" s="2" t="str">
        <f aca="false">IF(AND(ISNUMBER(VALUE(MID(A769,7,1))),ISNUMBER(SEARCH("km",A769)),ISNUMBER(SEARCH("of",A769))),"Distance-location","Named-region")</f>
        <v>Named-region</v>
      </c>
      <c r="V769" s="2" t="str">
        <f aca="false">LOWER(M769)</f>
        <v>mw</v>
      </c>
      <c r="W769" s="5" t="str">
        <f aca="false">IF(COUNTIFS($A$2:$A$1001,A769,$C$2:$C$1001,C769)&gt;1,"Duplicate","Unique")</f>
        <v>Unique</v>
      </c>
    </row>
    <row r="770" customFormat="false" ht="15" hidden="false" customHeight="false" outlineLevel="0" collapsed="false">
      <c r="A770" s="2" t="s">
        <v>2011</v>
      </c>
      <c r="B770" s="3" t="n">
        <v>6.7</v>
      </c>
      <c r="C770" s="2" t="s">
        <v>2012</v>
      </c>
      <c r="D770" s="2" t="n">
        <v>0</v>
      </c>
      <c r="E770" s="2" t="n">
        <v>7</v>
      </c>
      <c r="F770" s="2"/>
      <c r="G770" s="2" t="n">
        <v>0</v>
      </c>
      <c r="H770" s="2" t="n">
        <v>691</v>
      </c>
      <c r="I770" s="2" t="s">
        <v>26</v>
      </c>
      <c r="J770" s="2" t="n">
        <v>250</v>
      </c>
      <c r="K770" s="2" t="n">
        <v>0</v>
      </c>
      <c r="L770" s="2" t="n">
        <v>0</v>
      </c>
      <c r="M770" s="2" t="s">
        <v>1374</v>
      </c>
      <c r="N770" s="3" t="n">
        <v>10</v>
      </c>
      <c r="O770" s="3" t="n">
        <v>-1.511</v>
      </c>
      <c r="P770" s="3" t="n">
        <v>133.973</v>
      </c>
      <c r="Q770" s="3" t="s">
        <v>1279</v>
      </c>
      <c r="R770" s="2"/>
      <c r="S770" s="2" t="s">
        <v>72</v>
      </c>
      <c r="T770" s="4" t="n">
        <f aca="false">DATE(VALUE(MID(C770,7,4)),VALUE(MID(C770,4,2)),VALUE(MID(C770,1,2)))+TIME(VALUE(MID(C770,12,2)),VALUE(MID(C770,15,2)),0)</f>
        <v>37539.5194444444</v>
      </c>
      <c r="U770" s="2" t="str">
        <f aca="false">IF(AND(ISNUMBER(VALUE(MID(A770,7,1))),ISNUMBER(SEARCH("km",A770)),ISNUMBER(SEARCH("of",A770))),"Distance-location","Named-region")</f>
        <v>Named-region</v>
      </c>
      <c r="V770" s="2" t="str">
        <f aca="false">LOWER(M770)</f>
        <v>ms</v>
      </c>
      <c r="W770" s="5" t="str">
        <f aca="false">IF(COUNTIFS($A$2:$A$1001,A770,$C$2:$C$1001,C770)&gt;1,"Duplicate","Unique")</f>
        <v>Unique</v>
      </c>
    </row>
    <row r="771" customFormat="false" ht="15" hidden="false" customHeight="false" outlineLevel="0" collapsed="false">
      <c r="A771" s="2" t="s">
        <v>2013</v>
      </c>
      <c r="B771" s="3" t="n">
        <v>7.6</v>
      </c>
      <c r="C771" s="2" t="s">
        <v>2014</v>
      </c>
      <c r="D771" s="2" t="n">
        <v>0</v>
      </c>
      <c r="E771" s="2" t="n">
        <v>7</v>
      </c>
      <c r="F771" s="2"/>
      <c r="G771" s="2" t="n">
        <v>0</v>
      </c>
      <c r="H771" s="2" t="n">
        <v>889</v>
      </c>
      <c r="I771" s="2" t="s">
        <v>26</v>
      </c>
      <c r="J771" s="2" t="n">
        <v>375</v>
      </c>
      <c r="K771" s="2" t="n">
        <v>0</v>
      </c>
      <c r="L771" s="2" t="n">
        <v>0</v>
      </c>
      <c r="M771" s="2" t="s">
        <v>131</v>
      </c>
      <c r="N771" s="3" t="n">
        <v>10</v>
      </c>
      <c r="O771" s="3" t="n">
        <v>-1.757</v>
      </c>
      <c r="P771" s="3" t="n">
        <v>134.297</v>
      </c>
      <c r="Q771" s="3" t="s">
        <v>1279</v>
      </c>
      <c r="R771" s="2"/>
      <c r="S771" s="2" t="s">
        <v>72</v>
      </c>
      <c r="T771" s="4" t="n">
        <f aca="false">DATE(VALUE(MID(C771,7,4)),VALUE(MID(C771,4,2)),VALUE(MID(C771,1,2)))+TIME(VALUE(MID(C771,12,2)),VALUE(MID(C771,15,2)),0)</f>
        <v>37539.4513888889</v>
      </c>
      <c r="U771" s="2" t="str">
        <f aca="false">IF(AND(ISNUMBER(VALUE(MID(A771,7,1))),ISNUMBER(SEARCH("km",A771)),ISNUMBER(SEARCH("of",A771))),"Distance-location","Named-region")</f>
        <v>Named-region</v>
      </c>
      <c r="V771" s="2" t="str">
        <f aca="false">LOWER(M771)</f>
        <v>mwc</v>
      </c>
      <c r="W771" s="5" t="str">
        <f aca="false">IF(COUNTIFS($A$2:$A$1001,A771,$C$2:$C$1001,C771)&gt;1,"Duplicate","Unique")</f>
        <v>Unique</v>
      </c>
    </row>
    <row r="772" customFormat="false" ht="15" hidden="false" customHeight="false" outlineLevel="0" collapsed="false">
      <c r="A772" s="2" t="s">
        <v>2015</v>
      </c>
      <c r="B772" s="3" t="n">
        <v>6.5</v>
      </c>
      <c r="C772" s="2" t="s">
        <v>2016</v>
      </c>
      <c r="D772" s="2" t="n">
        <v>0</v>
      </c>
      <c r="E772" s="2" t="n">
        <v>6</v>
      </c>
      <c r="F772" s="2"/>
      <c r="G772" s="2" t="n">
        <v>0</v>
      </c>
      <c r="H772" s="2" t="n">
        <v>650</v>
      </c>
      <c r="I772" s="2" t="s">
        <v>26</v>
      </c>
      <c r="J772" s="2" t="n">
        <v>646</v>
      </c>
      <c r="K772" s="2" t="n">
        <v>0</v>
      </c>
      <c r="L772" s="2" t="n">
        <v>0</v>
      </c>
      <c r="M772" s="2" t="s">
        <v>131</v>
      </c>
      <c r="N772" s="3" t="n">
        <v>21</v>
      </c>
      <c r="O772" s="3" t="n">
        <v>13.036</v>
      </c>
      <c r="P772" s="3" t="n">
        <v>93.068</v>
      </c>
      <c r="Q772" s="3" t="s">
        <v>1468</v>
      </c>
      <c r="R772" s="2"/>
      <c r="S772" s="2" t="s">
        <v>864</v>
      </c>
      <c r="T772" s="4" t="n">
        <f aca="false">DATE(VALUE(MID(C772,7,4)),VALUE(MID(C772,4,2)),VALUE(MID(C772,1,2)))+TIME(VALUE(MID(C772,12,2)),VALUE(MID(C772,15,2)),0)</f>
        <v>37512.9361111111</v>
      </c>
      <c r="U772" s="2" t="str">
        <f aca="false">IF(AND(ISNUMBER(VALUE(MID(A772,7,1))),ISNUMBER(SEARCH("km",A772)),ISNUMBER(SEARCH("of",A772))),"Distance-location","Named-region")</f>
        <v>Named-region</v>
      </c>
      <c r="V772" s="2" t="str">
        <f aca="false">LOWER(M772)</f>
        <v>mwc</v>
      </c>
      <c r="W772" s="5" t="str">
        <f aca="false">IF(COUNTIFS($A$2:$A$1001,A772,$C$2:$C$1001,C772)&gt;1,"Duplicate","Unique")</f>
        <v>Unique</v>
      </c>
    </row>
    <row r="773" customFormat="false" ht="15" hidden="false" customHeight="false" outlineLevel="0" collapsed="false">
      <c r="A773" s="2" t="s">
        <v>2017</v>
      </c>
      <c r="B773" s="3" t="n">
        <v>7.6</v>
      </c>
      <c r="C773" s="2" t="s">
        <v>2018</v>
      </c>
      <c r="D773" s="2" t="n">
        <v>0</v>
      </c>
      <c r="E773" s="2" t="n">
        <v>7</v>
      </c>
      <c r="F773" s="2"/>
      <c r="G773" s="2" t="n">
        <v>0</v>
      </c>
      <c r="H773" s="2" t="n">
        <v>889</v>
      </c>
      <c r="I773" s="2" t="s">
        <v>26</v>
      </c>
      <c r="J773" s="2" t="n">
        <v>428</v>
      </c>
      <c r="K773" s="2" t="n">
        <v>0</v>
      </c>
      <c r="L773" s="2" t="n">
        <v>0</v>
      </c>
      <c r="M773" s="2" t="s">
        <v>131</v>
      </c>
      <c r="N773" s="3" t="n">
        <v>13</v>
      </c>
      <c r="O773" s="3" t="n">
        <v>-3.302</v>
      </c>
      <c r="P773" s="3" t="n">
        <v>142.945</v>
      </c>
      <c r="Q773" s="3" t="s">
        <v>1192</v>
      </c>
      <c r="R773" s="2"/>
      <c r="S773" s="2" t="s">
        <v>89</v>
      </c>
      <c r="T773" s="4" t="n">
        <f aca="false">DATE(VALUE(MID(C773,7,4)),VALUE(MID(C773,4,2)),VALUE(MID(C773,1,2)))+TIME(VALUE(MID(C773,12,2)),VALUE(MID(C773,15,2)),0)</f>
        <v>37507.7805555556</v>
      </c>
      <c r="U773" s="2" t="str">
        <f aca="false">IF(AND(ISNUMBER(VALUE(MID(A773,7,1))),ISNUMBER(SEARCH("km",A773)),ISNUMBER(SEARCH("of",A773))),"Distance-location","Named-region")</f>
        <v>Named-region</v>
      </c>
      <c r="V773" s="2" t="str">
        <f aca="false">LOWER(M773)</f>
        <v>mwc</v>
      </c>
      <c r="W773" s="5" t="str">
        <f aca="false">IF(COUNTIFS($A$2:$A$1001,A773,$C$2:$C$1001,C773)&gt;1,"Duplicate","Unique")</f>
        <v>Unique</v>
      </c>
    </row>
    <row r="774" customFormat="false" ht="28.35" hidden="false" customHeight="false" outlineLevel="0" collapsed="false">
      <c r="A774" s="2" t="s">
        <v>2019</v>
      </c>
      <c r="B774" s="3" t="n">
        <v>6.5</v>
      </c>
      <c r="C774" s="2" t="s">
        <v>2020</v>
      </c>
      <c r="D774" s="2" t="n">
        <v>0</v>
      </c>
      <c r="E774" s="2" t="n">
        <v>4</v>
      </c>
      <c r="F774" s="2"/>
      <c r="G774" s="2" t="n">
        <v>0</v>
      </c>
      <c r="H774" s="2" t="n">
        <v>650</v>
      </c>
      <c r="I774" s="2" t="s">
        <v>26</v>
      </c>
      <c r="J774" s="2" t="n">
        <v>260</v>
      </c>
      <c r="K774" s="2" t="n">
        <v>0</v>
      </c>
      <c r="L774" s="2" t="n">
        <v>0</v>
      </c>
      <c r="M774" s="2" t="s">
        <v>131</v>
      </c>
      <c r="N774" s="3" t="n">
        <v>30</v>
      </c>
      <c r="O774" s="3" t="n">
        <v>14.101</v>
      </c>
      <c r="P774" s="3" t="n">
        <v>146.199</v>
      </c>
      <c r="Q774" s="3" t="s">
        <v>2021</v>
      </c>
      <c r="R774" s="2"/>
      <c r="S774" s="2"/>
      <c r="T774" s="4" t="n">
        <f aca="false">DATE(VALUE(MID(C774,7,4)),VALUE(MID(C774,4,2)),VALUE(MID(C774,1,2)))+TIME(VALUE(MID(C774,12,2)),VALUE(MID(C774,15,2)),0)</f>
        <v>37482.58125</v>
      </c>
      <c r="U774" s="2" t="str">
        <f aca="false">IF(AND(ISNUMBER(VALUE(MID(A774,7,1))),ISNUMBER(SEARCH("km",A774)),ISNUMBER(SEARCH("of",A774))),"Distance-location","Named-region")</f>
        <v>Named-region</v>
      </c>
      <c r="V774" s="2" t="str">
        <f aca="false">LOWER(M774)</f>
        <v>mwc</v>
      </c>
      <c r="W774" s="5" t="str">
        <f aca="false">IF(COUNTIFS($A$2:$A$1001,A774,$C$2:$C$1001,C774)&gt;1,"Duplicate","Unique")</f>
        <v>Unique</v>
      </c>
    </row>
    <row r="775" customFormat="false" ht="15" hidden="false" customHeight="false" outlineLevel="0" collapsed="false">
      <c r="A775" s="2" t="s">
        <v>2022</v>
      </c>
      <c r="B775" s="3" t="n">
        <v>6.5</v>
      </c>
      <c r="C775" s="2" t="s">
        <v>2023</v>
      </c>
      <c r="D775" s="2" t="n">
        <v>0</v>
      </c>
      <c r="E775" s="2" t="n">
        <v>7</v>
      </c>
      <c r="F775" s="2"/>
      <c r="G775" s="2" t="n">
        <v>0</v>
      </c>
      <c r="H775" s="2" t="n">
        <v>650</v>
      </c>
      <c r="I775" s="2" t="s">
        <v>26</v>
      </c>
      <c r="J775" s="2" t="n">
        <v>533</v>
      </c>
      <c r="K775" s="2" t="n">
        <v>0</v>
      </c>
      <c r="L775" s="2" t="n">
        <v>0</v>
      </c>
      <c r="M775" s="2" t="s">
        <v>131</v>
      </c>
      <c r="N775" s="3" t="n">
        <v>10</v>
      </c>
      <c r="O775" s="3" t="n">
        <v>7.929</v>
      </c>
      <c r="P775" s="3" t="n">
        <v>-82.793</v>
      </c>
      <c r="Q775" s="3" t="s">
        <v>996</v>
      </c>
      <c r="R775" s="2"/>
      <c r="S775" s="2" t="s">
        <v>164</v>
      </c>
      <c r="T775" s="4" t="n">
        <f aca="false">DATE(VALUE(MID(C775,7,4)),VALUE(MID(C775,4,2)),VALUE(MID(C775,1,2)))+TIME(VALUE(MID(C775,12,2)),VALUE(MID(C775,15,2)),0)</f>
        <v>37468.0111111111</v>
      </c>
      <c r="U775" s="2" t="str">
        <f aca="false">IF(AND(ISNUMBER(VALUE(MID(A775,7,1))),ISNUMBER(SEARCH("km",A775)),ISNUMBER(SEARCH("of",A775))),"Distance-location","Named-region")</f>
        <v>Named-region</v>
      </c>
      <c r="V775" s="2" t="str">
        <f aca="false">LOWER(M775)</f>
        <v>mwc</v>
      </c>
      <c r="W775" s="5" t="str">
        <f aca="false">IF(COUNTIFS($A$2:$A$1001,A775,$C$2:$C$1001,C775)&gt;1,"Duplicate","Unique")</f>
        <v>Unique</v>
      </c>
    </row>
    <row r="776" customFormat="false" ht="15" hidden="false" customHeight="false" outlineLevel="0" collapsed="false">
      <c r="A776" s="2" t="s">
        <v>2024</v>
      </c>
      <c r="B776" s="3" t="n">
        <v>6.5</v>
      </c>
      <c r="C776" s="2" t="s">
        <v>2025</v>
      </c>
      <c r="D776" s="2" t="n">
        <v>0</v>
      </c>
      <c r="E776" s="2" t="n">
        <v>8</v>
      </c>
      <c r="F776" s="2"/>
      <c r="G776" s="2" t="n">
        <v>0</v>
      </c>
      <c r="H776" s="2" t="n">
        <v>650</v>
      </c>
      <c r="I776" s="2" t="s">
        <v>26</v>
      </c>
      <c r="J776" s="2" t="n">
        <v>555</v>
      </c>
      <c r="K776" s="2" t="n">
        <v>0</v>
      </c>
      <c r="L776" s="2" t="n">
        <v>0</v>
      </c>
      <c r="M776" s="2" t="s">
        <v>131</v>
      </c>
      <c r="N776" s="3" t="n">
        <v>10</v>
      </c>
      <c r="O776" s="3" t="n">
        <v>35.626</v>
      </c>
      <c r="P776" s="3" t="n">
        <v>49.047</v>
      </c>
      <c r="Q776" s="3" t="s">
        <v>2026</v>
      </c>
      <c r="R776" s="2" t="s">
        <v>84</v>
      </c>
      <c r="S776" s="2" t="s">
        <v>664</v>
      </c>
      <c r="T776" s="4" t="n">
        <f aca="false">DATE(VALUE(MID(C776,7,4)),VALUE(MID(C776,4,2)),VALUE(MID(C776,1,2)))+TIME(VALUE(MID(C776,12,2)),VALUE(MID(C776,15,2)),0)</f>
        <v>37429.1236111111</v>
      </c>
      <c r="U776" s="2" t="str">
        <f aca="false">IF(AND(ISNUMBER(VALUE(MID(A776,7,1))),ISNUMBER(SEARCH("km",A776)),ISNUMBER(SEARCH("of",A776))),"Distance-location","Named-region")</f>
        <v>Named-region</v>
      </c>
      <c r="V776" s="2" t="str">
        <f aca="false">LOWER(M776)</f>
        <v>mwc</v>
      </c>
      <c r="W776" s="5" t="str">
        <f aca="false">IF(COUNTIFS($A$2:$A$1001,A776,$C$2:$C$1001,C776)&gt;1,"Duplicate","Unique")</f>
        <v>Unique</v>
      </c>
    </row>
    <row r="777" customFormat="false" ht="15" hidden="false" customHeight="false" outlineLevel="0" collapsed="false">
      <c r="A777" s="2" t="s">
        <v>2027</v>
      </c>
      <c r="B777" s="3" t="n">
        <v>6.6</v>
      </c>
      <c r="C777" s="2" t="s">
        <v>2028</v>
      </c>
      <c r="D777" s="2" t="n">
        <v>0</v>
      </c>
      <c r="E777" s="2" t="n">
        <v>7</v>
      </c>
      <c r="F777" s="2"/>
      <c r="G777" s="2" t="n">
        <v>0</v>
      </c>
      <c r="H777" s="2" t="n">
        <v>670</v>
      </c>
      <c r="I777" s="2" t="s">
        <v>26</v>
      </c>
      <c r="J777" s="2" t="n">
        <v>420</v>
      </c>
      <c r="K777" s="2" t="n">
        <v>0</v>
      </c>
      <c r="L777" s="2" t="n">
        <v>0</v>
      </c>
      <c r="M777" s="2" t="s">
        <v>158</v>
      </c>
      <c r="N777" s="3" t="n">
        <v>54</v>
      </c>
      <c r="O777" s="3" t="n">
        <v>-30.805</v>
      </c>
      <c r="P777" s="3" t="n">
        <v>-71.124</v>
      </c>
      <c r="Q777" s="3" t="s">
        <v>2029</v>
      </c>
      <c r="R777" s="2" t="s">
        <v>37</v>
      </c>
      <c r="S777" s="2" t="s">
        <v>377</v>
      </c>
      <c r="T777" s="4" t="n">
        <f aca="false">DATE(VALUE(MID(C777,7,4)),VALUE(MID(C777,4,2)),VALUE(MID(C777,1,2)))+TIME(VALUE(MID(C777,12,2)),VALUE(MID(C777,15,2)),0)</f>
        <v>37425.5805555556</v>
      </c>
      <c r="U777" s="2" t="str">
        <f aca="false">IF(AND(ISNUMBER(VALUE(MID(A777,7,1))),ISNUMBER(SEARCH("km",A777)),ISNUMBER(SEARCH("of",A777))),"Distance-location","Named-region")</f>
        <v>Named-region</v>
      </c>
      <c r="V777" s="2" t="str">
        <f aca="false">LOWER(M777)</f>
        <v>mwb</v>
      </c>
      <c r="W777" s="5" t="str">
        <f aca="false">IF(COUNTIFS($A$2:$A$1001,A777,$C$2:$C$1001,C777)&gt;1,"Duplicate","Unique")</f>
        <v>Unique</v>
      </c>
    </row>
    <row r="778" customFormat="false" ht="15" hidden="false" customHeight="false" outlineLevel="0" collapsed="false">
      <c r="A778" s="2" t="s">
        <v>2030</v>
      </c>
      <c r="B778" s="3" t="n">
        <v>6.7</v>
      </c>
      <c r="C778" s="2" t="s">
        <v>2031</v>
      </c>
      <c r="D778" s="2" t="n">
        <v>0</v>
      </c>
      <c r="E778" s="2" t="n">
        <v>5</v>
      </c>
      <c r="F778" s="2"/>
      <c r="G778" s="2" t="n">
        <v>0</v>
      </c>
      <c r="H778" s="2" t="n">
        <v>691</v>
      </c>
      <c r="I778" s="2" t="s">
        <v>26</v>
      </c>
      <c r="J778" s="2" t="n">
        <v>272</v>
      </c>
      <c r="K778" s="2" t="n">
        <v>0</v>
      </c>
      <c r="L778" s="2" t="n">
        <v>0</v>
      </c>
      <c r="M778" s="2" t="s">
        <v>131</v>
      </c>
      <c r="N778" s="3" t="n">
        <v>33</v>
      </c>
      <c r="O778" s="3" t="n">
        <v>-12.592</v>
      </c>
      <c r="P778" s="3" t="n">
        <v>166.383</v>
      </c>
      <c r="Q778" s="3" t="s">
        <v>28</v>
      </c>
      <c r="R778" s="2"/>
      <c r="S778" s="2"/>
      <c r="T778" s="4" t="n">
        <f aca="false">DATE(VALUE(MID(C778,7,4)),VALUE(MID(C778,4,2)),VALUE(MID(C778,1,2)))+TIME(VALUE(MID(C778,12,2)),VALUE(MID(C778,15,2)),0)</f>
        <v>37424.8930555556</v>
      </c>
      <c r="U778" s="2" t="str">
        <f aca="false">IF(AND(ISNUMBER(VALUE(MID(A778,7,1))),ISNUMBER(SEARCH("km",A778)),ISNUMBER(SEARCH("of",A778))),"Distance-location","Named-region")</f>
        <v>Named-region</v>
      </c>
      <c r="V778" s="2" t="str">
        <f aca="false">LOWER(M778)</f>
        <v>mwc</v>
      </c>
      <c r="W778" s="5" t="str">
        <f aca="false">IF(COUNTIFS($A$2:$A$1001,A778,$C$2:$C$1001,C778)&gt;1,"Duplicate","Unique")</f>
        <v>Unique</v>
      </c>
    </row>
    <row r="779" customFormat="false" ht="15" hidden="false" customHeight="false" outlineLevel="0" collapsed="false">
      <c r="A779" s="2" t="s">
        <v>2032</v>
      </c>
      <c r="B779" s="3" t="n">
        <v>7.1</v>
      </c>
      <c r="C779" s="2" t="s">
        <v>2033</v>
      </c>
      <c r="D779" s="2" t="n">
        <v>0</v>
      </c>
      <c r="E779" s="2" t="n">
        <v>7</v>
      </c>
      <c r="F779" s="2"/>
      <c r="G779" s="2" t="n">
        <v>0</v>
      </c>
      <c r="H779" s="2" t="n">
        <v>776</v>
      </c>
      <c r="I779" s="2" t="s">
        <v>26</v>
      </c>
      <c r="J779" s="2" t="n">
        <v>257</v>
      </c>
      <c r="K779" s="2" t="n">
        <v>0</v>
      </c>
      <c r="L779" s="2" t="n">
        <v>0</v>
      </c>
      <c r="M779" s="2" t="s">
        <v>131</v>
      </c>
      <c r="N779" s="3" t="n">
        <v>85.7</v>
      </c>
      <c r="O779" s="3" t="n">
        <v>13.088</v>
      </c>
      <c r="P779" s="3" t="n">
        <v>144.619</v>
      </c>
      <c r="Q779" s="3" t="s">
        <v>2034</v>
      </c>
      <c r="R779" s="2"/>
      <c r="S779" s="2" t="s">
        <v>265</v>
      </c>
      <c r="T779" s="4" t="n">
        <f aca="false">DATE(VALUE(MID(C779,7,4)),VALUE(MID(C779,4,2)),VALUE(MID(C779,1,2)))+TIME(VALUE(MID(C779,12,2)),VALUE(MID(C779,15,2)),0)</f>
        <v>37372.6708333333</v>
      </c>
      <c r="U779" s="2" t="str">
        <f aca="false">IF(AND(ISNUMBER(VALUE(MID(A779,7,1))),ISNUMBER(SEARCH("km",A779)),ISNUMBER(SEARCH("of",A779))),"Distance-location","Named-region")</f>
        <v>Named-region</v>
      </c>
      <c r="V779" s="2" t="str">
        <f aca="false">LOWER(M779)</f>
        <v>mwc</v>
      </c>
      <c r="W779" s="5" t="str">
        <f aca="false">IF(COUNTIFS($A$2:$A$1001,A779,$C$2:$C$1001,C779)&gt;1,"Duplicate","Unique")</f>
        <v>Unique</v>
      </c>
    </row>
    <row r="780" customFormat="false" ht="15" hidden="false" customHeight="false" outlineLevel="0" collapsed="false">
      <c r="A780" s="2" t="s">
        <v>2035</v>
      </c>
      <c r="B780" s="3" t="n">
        <v>6.7</v>
      </c>
      <c r="C780" s="2" t="s">
        <v>2036</v>
      </c>
      <c r="D780" s="2" t="n">
        <v>0</v>
      </c>
      <c r="E780" s="2" t="n">
        <v>7</v>
      </c>
      <c r="F780" s="2"/>
      <c r="G780" s="2" t="n">
        <v>0</v>
      </c>
      <c r="H780" s="2" t="n">
        <v>691</v>
      </c>
      <c r="I780" s="2" t="s">
        <v>26</v>
      </c>
      <c r="J780" s="2" t="n">
        <v>462</v>
      </c>
      <c r="K780" s="2" t="n">
        <v>0</v>
      </c>
      <c r="L780" s="2" t="n">
        <v>0</v>
      </c>
      <c r="M780" s="2" t="s">
        <v>158</v>
      </c>
      <c r="N780" s="3" t="n">
        <v>62</v>
      </c>
      <c r="O780" s="3" t="n">
        <v>-27.535</v>
      </c>
      <c r="P780" s="3" t="n">
        <v>-70.586</v>
      </c>
      <c r="Q780" s="3" t="s">
        <v>1762</v>
      </c>
      <c r="R780" s="2" t="s">
        <v>37</v>
      </c>
      <c r="S780" s="2" t="s">
        <v>377</v>
      </c>
      <c r="T780" s="4" t="n">
        <f aca="false">DATE(VALUE(MID(C780,7,4)),VALUE(MID(C780,4,2)),VALUE(MID(C780,1,2)))+TIME(VALUE(MID(C780,12,2)),VALUE(MID(C780,15,2)),0)</f>
        <v>37364.6722222222</v>
      </c>
      <c r="U780" s="2" t="str">
        <f aca="false">IF(AND(ISNUMBER(VALUE(MID(A780,7,1))),ISNUMBER(SEARCH("km",A780)),ISNUMBER(SEARCH("of",A780))),"Distance-location","Named-region")</f>
        <v>Named-region</v>
      </c>
      <c r="V780" s="2" t="str">
        <f aca="false">LOWER(M780)</f>
        <v>mwb</v>
      </c>
      <c r="W780" s="5" t="str">
        <f aca="false">IF(COUNTIFS($A$2:$A$1001,A780,$C$2:$C$1001,C780)&gt;1,"Duplicate","Unique")</f>
        <v>Unique</v>
      </c>
    </row>
    <row r="781" customFormat="false" ht="15" hidden="false" customHeight="false" outlineLevel="0" collapsed="false">
      <c r="A781" s="2" t="s">
        <v>2037</v>
      </c>
      <c r="B781" s="3" t="n">
        <v>6.8</v>
      </c>
      <c r="C781" s="2" t="s">
        <v>2038</v>
      </c>
      <c r="D781" s="2" t="n">
        <v>0</v>
      </c>
      <c r="E781" s="2" t="n">
        <v>6</v>
      </c>
      <c r="F781" s="2"/>
      <c r="G781" s="2" t="n">
        <v>0</v>
      </c>
      <c r="H781" s="2" t="n">
        <v>711</v>
      </c>
      <c r="I781" s="2" t="s">
        <v>26</v>
      </c>
      <c r="J781" s="2" t="n">
        <v>292</v>
      </c>
      <c r="K781" s="2" t="n">
        <v>0</v>
      </c>
      <c r="L781" s="2" t="n">
        <v>0</v>
      </c>
      <c r="M781" s="2" t="s">
        <v>131</v>
      </c>
      <c r="N781" s="3" t="n">
        <v>24.9</v>
      </c>
      <c r="O781" s="3" t="n">
        <v>16.985</v>
      </c>
      <c r="P781" s="3" t="n">
        <v>-100.865</v>
      </c>
      <c r="Q781" s="3" t="s">
        <v>2039</v>
      </c>
      <c r="R781" s="2" t="s">
        <v>168</v>
      </c>
      <c r="S781" s="2"/>
      <c r="T781" s="4" t="n">
        <f aca="false">DATE(VALUE(MID(C781,7,4)),VALUE(MID(C781,4,2)),VALUE(MID(C781,1,2)))+TIME(VALUE(MID(C781,12,2)),VALUE(MID(C781,15,2)),0)</f>
        <v>37364.2097222222</v>
      </c>
      <c r="U781" s="2" t="str">
        <f aca="false">IF(AND(ISNUMBER(VALUE(MID(A781,7,1))),ISNUMBER(SEARCH("km",A781)),ISNUMBER(SEARCH("of",A781))),"Distance-location","Named-region")</f>
        <v>Named-region</v>
      </c>
      <c r="V781" s="2" t="str">
        <f aca="false">LOWER(M781)</f>
        <v>mwc</v>
      </c>
      <c r="W781" s="5" t="str">
        <f aca="false">IF(COUNTIFS($A$2:$A$1001,A781,$C$2:$C$1001,C781)&gt;1,"Duplicate","Unique")</f>
        <v>Unique</v>
      </c>
    </row>
    <row r="782" customFormat="false" ht="15" hidden="false" customHeight="false" outlineLevel="0" collapsed="false">
      <c r="A782" s="2" t="s">
        <v>2040</v>
      </c>
      <c r="B782" s="3" t="n">
        <v>7.1</v>
      </c>
      <c r="C782" s="2" t="s">
        <v>2041</v>
      </c>
      <c r="D782" s="2" t="n">
        <v>0</v>
      </c>
      <c r="E782" s="2" t="n">
        <v>6</v>
      </c>
      <c r="F782" s="2"/>
      <c r="G782" s="2" t="n">
        <v>0</v>
      </c>
      <c r="H782" s="2" t="n">
        <v>776</v>
      </c>
      <c r="I782" s="2" t="s">
        <v>26</v>
      </c>
      <c r="J782" s="2" t="n">
        <v>550</v>
      </c>
      <c r="K782" s="2" t="n">
        <v>0</v>
      </c>
      <c r="L782" s="2" t="n">
        <v>0</v>
      </c>
      <c r="M782" s="2" t="s">
        <v>131</v>
      </c>
      <c r="N782" s="3" t="n">
        <v>32.8</v>
      </c>
      <c r="O782" s="3" t="n">
        <v>24.279</v>
      </c>
      <c r="P782" s="3" t="n">
        <v>122.179</v>
      </c>
      <c r="Q782" s="3" t="s">
        <v>218</v>
      </c>
      <c r="R782" s="2" t="s">
        <v>84</v>
      </c>
      <c r="S782" s="2"/>
      <c r="T782" s="4" t="n">
        <f aca="false">DATE(VALUE(MID(C782,7,4)),VALUE(MID(C782,4,2)),VALUE(MID(C782,1,2)))+TIME(VALUE(MID(C782,12,2)),VALUE(MID(C782,15,2)),0)</f>
        <v>37346.2861111111</v>
      </c>
      <c r="U782" s="2" t="str">
        <f aca="false">IF(AND(ISNUMBER(VALUE(MID(A782,7,1))),ISNUMBER(SEARCH("km",A782)),ISNUMBER(SEARCH("of",A782))),"Distance-location","Named-region")</f>
        <v>Named-region</v>
      </c>
      <c r="V782" s="2" t="str">
        <f aca="false">LOWER(M782)</f>
        <v>mwc</v>
      </c>
      <c r="W782" s="5" t="str">
        <f aca="false">IF(COUNTIFS($A$2:$A$1001,A782,$C$2:$C$1001,C782)&gt;1,"Duplicate","Unique")</f>
        <v>Unique</v>
      </c>
    </row>
    <row r="783" customFormat="false" ht="15" hidden="false" customHeight="false" outlineLevel="0" collapsed="false">
      <c r="A783" s="2" t="s">
        <v>2042</v>
      </c>
      <c r="B783" s="3" t="n">
        <v>6.5</v>
      </c>
      <c r="C783" s="2" t="s">
        <v>2043</v>
      </c>
      <c r="D783" s="2" t="n">
        <v>0</v>
      </c>
      <c r="E783" s="2" t="n">
        <v>5</v>
      </c>
      <c r="F783" s="2"/>
      <c r="G783" s="2" t="n">
        <v>0</v>
      </c>
      <c r="H783" s="2" t="n">
        <v>650</v>
      </c>
      <c r="I783" s="2" t="s">
        <v>26</v>
      </c>
      <c r="J783" s="2" t="n">
        <v>486</v>
      </c>
      <c r="K783" s="2" t="n">
        <v>0</v>
      </c>
      <c r="L783" s="2" t="n">
        <v>0</v>
      </c>
      <c r="M783" s="2" t="s">
        <v>131</v>
      </c>
      <c r="N783" s="3" t="n">
        <v>125.1</v>
      </c>
      <c r="O783" s="3" t="n">
        <v>-21.663</v>
      </c>
      <c r="P783" s="3" t="n">
        <v>-68.329</v>
      </c>
      <c r="Q783" s="3" t="s">
        <v>2044</v>
      </c>
      <c r="R783" s="2" t="s">
        <v>37</v>
      </c>
      <c r="S783" s="2" t="s">
        <v>377</v>
      </c>
      <c r="T783" s="4" t="n">
        <f aca="false">DATE(VALUE(MID(C783,7,4)),VALUE(MID(C783,4,2)),VALUE(MID(C783,1,2)))+TIME(VALUE(MID(C783,12,2)),VALUE(MID(C783,15,2)),0)</f>
        <v>37343.2055555556</v>
      </c>
      <c r="U783" s="2" t="str">
        <f aca="false">IF(AND(ISNUMBER(VALUE(MID(A783,7,1))),ISNUMBER(SEARCH("km",A783)),ISNUMBER(SEARCH("of",A783))),"Distance-location","Named-region")</f>
        <v>Named-region</v>
      </c>
      <c r="V783" s="2" t="str">
        <f aca="false">LOWER(M783)</f>
        <v>mwc</v>
      </c>
      <c r="W783" s="5" t="str">
        <f aca="false">IF(COUNTIFS($A$2:$A$1001,A783,$C$2:$C$1001,C783)&gt;1,"Duplicate","Unique")</f>
        <v>Unique</v>
      </c>
    </row>
    <row r="784" customFormat="false" ht="15" hidden="false" customHeight="false" outlineLevel="0" collapsed="false">
      <c r="A784" s="2" t="s">
        <v>2045</v>
      </c>
      <c r="B784" s="3" t="n">
        <v>7.5</v>
      </c>
      <c r="C784" s="2" t="s">
        <v>2046</v>
      </c>
      <c r="D784" s="2" t="n">
        <v>0</v>
      </c>
      <c r="E784" s="2" t="n">
        <v>7</v>
      </c>
      <c r="F784" s="2"/>
      <c r="G784" s="2" t="n">
        <v>0</v>
      </c>
      <c r="H784" s="2" t="n">
        <v>865</v>
      </c>
      <c r="I784" s="2" t="s">
        <v>26</v>
      </c>
      <c r="J784" s="2" t="n">
        <v>321</v>
      </c>
      <c r="K784" s="2" t="n">
        <v>0</v>
      </c>
      <c r="L784" s="2" t="n">
        <v>0</v>
      </c>
      <c r="M784" s="2" t="s">
        <v>131</v>
      </c>
      <c r="N784" s="3" t="n">
        <v>31</v>
      </c>
      <c r="O784" s="3" t="n">
        <v>6.033</v>
      </c>
      <c r="P784" s="3" t="n">
        <v>124.249</v>
      </c>
      <c r="Q784" s="3" t="s">
        <v>2047</v>
      </c>
      <c r="R784" s="2"/>
      <c r="S784" s="2" t="s">
        <v>195</v>
      </c>
      <c r="T784" s="4" t="n">
        <f aca="false">DATE(VALUE(MID(C784,7,4)),VALUE(MID(C784,4,2)),VALUE(MID(C784,1,2)))+TIME(VALUE(MID(C784,12,2)),VALUE(MID(C784,15,2)),0)</f>
        <v>37320.8861111111</v>
      </c>
      <c r="U784" s="2" t="str">
        <f aca="false">IF(AND(ISNUMBER(VALUE(MID(A784,7,1))),ISNUMBER(SEARCH("km",A784)),ISNUMBER(SEARCH("of",A784))),"Distance-location","Named-region")</f>
        <v>Named-region</v>
      </c>
      <c r="V784" s="2" t="str">
        <f aca="false">LOWER(M784)</f>
        <v>mwc</v>
      </c>
      <c r="W784" s="5" t="str">
        <f aca="false">IF(COUNTIFS($A$2:$A$1001,A784,$C$2:$C$1001,C784)&gt;1,"Duplicate","Unique")</f>
        <v>Unique</v>
      </c>
    </row>
    <row r="785" customFormat="false" ht="15" hidden="false" customHeight="false" outlineLevel="0" collapsed="false">
      <c r="A785" s="2" t="s">
        <v>2048</v>
      </c>
      <c r="B785" s="3" t="n">
        <v>7.4</v>
      </c>
      <c r="C785" s="2" t="s">
        <v>2049</v>
      </c>
      <c r="D785" s="2" t="n">
        <v>0</v>
      </c>
      <c r="E785" s="2" t="n">
        <v>5</v>
      </c>
      <c r="F785" s="2"/>
      <c r="G785" s="2" t="n">
        <v>0</v>
      </c>
      <c r="H785" s="2" t="n">
        <v>842</v>
      </c>
      <c r="I785" s="2" t="s">
        <v>26</v>
      </c>
      <c r="J785" s="2" t="n">
        <v>138</v>
      </c>
      <c r="K785" s="2" t="n">
        <v>0</v>
      </c>
      <c r="L785" s="2" t="n">
        <v>0</v>
      </c>
      <c r="M785" s="2" t="s">
        <v>131</v>
      </c>
      <c r="N785" s="3" t="n">
        <v>225.6</v>
      </c>
      <c r="O785" s="3" t="n">
        <v>36.502</v>
      </c>
      <c r="P785" s="3" t="n">
        <v>70.482</v>
      </c>
      <c r="Q785" s="3" t="s">
        <v>95</v>
      </c>
      <c r="R785" s="2" t="s">
        <v>84</v>
      </c>
      <c r="S785" s="2" t="s">
        <v>96</v>
      </c>
      <c r="T785" s="4" t="n">
        <f aca="false">DATE(VALUE(MID(C785,7,4)),VALUE(MID(C785,4,2)),VALUE(MID(C785,1,2)))+TIME(VALUE(MID(C785,12,2)),VALUE(MID(C785,15,2)),0)</f>
        <v>37318.5055555556</v>
      </c>
      <c r="U785" s="2" t="str">
        <f aca="false">IF(AND(ISNUMBER(VALUE(MID(A785,7,1))),ISNUMBER(SEARCH("km",A785)),ISNUMBER(SEARCH("of",A785))),"Distance-location","Named-region")</f>
        <v>Named-region</v>
      </c>
      <c r="V785" s="2" t="str">
        <f aca="false">LOWER(M785)</f>
        <v>mwc</v>
      </c>
      <c r="W785" s="5" t="str">
        <f aca="false">IF(COUNTIFS($A$2:$A$1001,A785,$C$2:$C$1001,C785)&gt;1,"Duplicate","Unique")</f>
        <v>Unique</v>
      </c>
    </row>
    <row r="786" customFormat="false" ht="15" hidden="false" customHeight="false" outlineLevel="0" collapsed="false">
      <c r="A786" s="2" t="s">
        <v>2050</v>
      </c>
      <c r="B786" s="3" t="n">
        <v>6.6</v>
      </c>
      <c r="C786" s="2" t="s">
        <v>2051</v>
      </c>
      <c r="D786" s="2" t="n">
        <v>0</v>
      </c>
      <c r="E786" s="2" t="n">
        <v>6</v>
      </c>
      <c r="F786" s="2"/>
      <c r="G786" s="2" t="n">
        <v>0</v>
      </c>
      <c r="H786" s="2" t="n">
        <v>670</v>
      </c>
      <c r="I786" s="2" t="s">
        <v>26</v>
      </c>
      <c r="J786" s="2" t="n">
        <v>444</v>
      </c>
      <c r="K786" s="2" t="n">
        <v>0</v>
      </c>
      <c r="L786" s="2" t="n">
        <v>0</v>
      </c>
      <c r="M786" s="2" t="s">
        <v>131</v>
      </c>
      <c r="N786" s="3" t="n">
        <v>39</v>
      </c>
      <c r="O786" s="3" t="n">
        <v>-5.345</v>
      </c>
      <c r="P786" s="3" t="n">
        <v>151.248</v>
      </c>
      <c r="Q786" s="3" t="s">
        <v>111</v>
      </c>
      <c r="R786" s="2"/>
      <c r="S786" s="2" t="s">
        <v>89</v>
      </c>
      <c r="T786" s="4" t="n">
        <f aca="false">DATE(VALUE(MID(C786,7,4)),VALUE(MID(C786,4,2)),VALUE(MID(C786,1,2)))+TIME(VALUE(MID(C786,12,2)),VALUE(MID(C786,15,2)),0)</f>
        <v>37292.5604166667</v>
      </c>
      <c r="U786" s="2" t="str">
        <f aca="false">IF(AND(ISNUMBER(VALUE(MID(A786,7,1))),ISNUMBER(SEARCH("km",A786)),ISNUMBER(SEARCH("of",A786))),"Distance-location","Named-region")</f>
        <v>Named-region</v>
      </c>
      <c r="V786" s="2" t="str">
        <f aca="false">LOWER(M786)</f>
        <v>mwc</v>
      </c>
      <c r="W786" s="5" t="str">
        <f aca="false">IF(COUNTIFS($A$2:$A$1001,A786,$C$2:$C$1001,C786)&gt;1,"Duplicate","Unique")</f>
        <v>Unique</v>
      </c>
    </row>
    <row r="787" customFormat="false" ht="15" hidden="false" customHeight="false" outlineLevel="0" collapsed="false">
      <c r="A787" s="2" t="s">
        <v>2052</v>
      </c>
      <c r="B787" s="3" t="n">
        <v>6.5</v>
      </c>
      <c r="C787" s="2" t="s">
        <v>2053</v>
      </c>
      <c r="D787" s="2" t="n">
        <v>0</v>
      </c>
      <c r="E787" s="2" t="n">
        <v>7</v>
      </c>
      <c r="F787" s="2"/>
      <c r="G787" s="2" t="n">
        <v>0</v>
      </c>
      <c r="H787" s="2" t="n">
        <v>650</v>
      </c>
      <c r="I787" s="2" t="s">
        <v>26</v>
      </c>
      <c r="J787" s="2" t="n">
        <v>482</v>
      </c>
      <c r="K787" s="2" t="n">
        <v>0</v>
      </c>
      <c r="L787" s="2" t="n">
        <v>0</v>
      </c>
      <c r="M787" s="2" t="s">
        <v>131</v>
      </c>
      <c r="N787" s="3" t="n">
        <v>5</v>
      </c>
      <c r="O787" s="3" t="n">
        <v>38.573</v>
      </c>
      <c r="P787" s="3" t="n">
        <v>31.271</v>
      </c>
      <c r="Q787" s="3" t="s">
        <v>2054</v>
      </c>
      <c r="R787" s="2" t="s">
        <v>84</v>
      </c>
      <c r="S787" s="2" t="s">
        <v>439</v>
      </c>
      <c r="T787" s="4" t="n">
        <f aca="false">DATE(VALUE(MID(C787,7,4)),VALUE(MID(C787,4,2)),VALUE(MID(C787,1,2)))+TIME(VALUE(MID(C787,12,2)),VALUE(MID(C787,15,2)),0)</f>
        <v>37290.2993055556</v>
      </c>
      <c r="U787" s="2" t="str">
        <f aca="false">IF(AND(ISNUMBER(VALUE(MID(A787,7,1))),ISNUMBER(SEARCH("km",A787)),ISNUMBER(SEARCH("of",A787))),"Distance-location","Named-region")</f>
        <v>Named-region</v>
      </c>
      <c r="V787" s="2" t="str">
        <f aca="false">LOWER(M787)</f>
        <v>mwc</v>
      </c>
      <c r="W787" s="5" t="str">
        <f aca="false">IF(COUNTIFS($A$2:$A$1001,A787,$C$2:$C$1001,C787)&gt;1,"Duplicate","Unique")</f>
        <v>Unique</v>
      </c>
    </row>
    <row r="788" customFormat="false" ht="15" hidden="false" customHeight="false" outlineLevel="0" collapsed="false">
      <c r="A788" s="2" t="s">
        <v>2055</v>
      </c>
      <c r="B788" s="3" t="n">
        <v>6.7</v>
      </c>
      <c r="C788" s="2" t="s">
        <v>2056</v>
      </c>
      <c r="D788" s="2" t="n">
        <v>0</v>
      </c>
      <c r="E788" s="2" t="n">
        <v>8</v>
      </c>
      <c r="F788" s="2"/>
      <c r="G788" s="2" t="n">
        <v>0</v>
      </c>
      <c r="H788" s="2" t="n">
        <v>691</v>
      </c>
      <c r="I788" s="2" t="s">
        <v>26</v>
      </c>
      <c r="J788" s="2" t="n">
        <v>333</v>
      </c>
      <c r="K788" s="2" t="n">
        <v>0</v>
      </c>
      <c r="L788" s="2" t="n">
        <v>0</v>
      </c>
      <c r="M788" s="2" t="s">
        <v>131</v>
      </c>
      <c r="N788" s="3" t="n">
        <v>11</v>
      </c>
      <c r="O788" s="3" t="n">
        <v>-3.212</v>
      </c>
      <c r="P788" s="3" t="n">
        <v>142.427</v>
      </c>
      <c r="Q788" s="3" t="s">
        <v>1192</v>
      </c>
      <c r="R788" s="2"/>
      <c r="S788" s="2" t="s">
        <v>89</v>
      </c>
      <c r="T788" s="4" t="n">
        <f aca="false">DATE(VALUE(MID(C788,7,4)),VALUE(MID(C788,4,2)),VALUE(MID(C788,1,2)))+TIME(VALUE(MID(C788,12,2)),VALUE(MID(C788,15,2)),0)</f>
        <v>37266.4680555556</v>
      </c>
      <c r="U788" s="2" t="str">
        <f aca="false">IF(AND(ISNUMBER(VALUE(MID(A788,7,1))),ISNUMBER(SEARCH("km",A788)),ISNUMBER(SEARCH("of",A788))),"Distance-location","Named-region")</f>
        <v>Named-region</v>
      </c>
      <c r="V788" s="2" t="str">
        <f aca="false">LOWER(M788)</f>
        <v>mwc</v>
      </c>
      <c r="W788" s="5" t="str">
        <f aca="false">IF(COUNTIFS($A$2:$A$1001,A788,$C$2:$C$1001,C788)&gt;1,"Duplicate","Unique")</f>
        <v>Unique</v>
      </c>
    </row>
    <row r="789" customFormat="false" ht="15" hidden="false" customHeight="false" outlineLevel="0" collapsed="false">
      <c r="A789" s="2" t="s">
        <v>2057</v>
      </c>
      <c r="B789" s="3" t="n">
        <v>6.6</v>
      </c>
      <c r="C789" s="2" t="s">
        <v>2058</v>
      </c>
      <c r="D789" s="2" t="n">
        <v>0</v>
      </c>
      <c r="E789" s="2" t="n">
        <v>6</v>
      </c>
      <c r="F789" s="2"/>
      <c r="G789" s="2" t="n">
        <v>0</v>
      </c>
      <c r="H789" s="2" t="n">
        <v>670</v>
      </c>
      <c r="I789" s="2" t="s">
        <v>26</v>
      </c>
      <c r="J789" s="2" t="n">
        <v>386</v>
      </c>
      <c r="K789" s="2" t="n">
        <v>0</v>
      </c>
      <c r="L789" s="2" t="n">
        <v>0</v>
      </c>
      <c r="M789" s="2" t="s">
        <v>131</v>
      </c>
      <c r="N789" s="3" t="n">
        <v>10</v>
      </c>
      <c r="O789" s="3" t="n">
        <v>-17.664</v>
      </c>
      <c r="P789" s="3" t="n">
        <v>168.004</v>
      </c>
      <c r="Q789" s="3" t="s">
        <v>993</v>
      </c>
      <c r="R789" s="2"/>
      <c r="S789" s="2" t="s">
        <v>29</v>
      </c>
      <c r="T789" s="4" t="n">
        <f aca="false">DATE(VALUE(MID(C789,7,4)),VALUE(MID(C789,4,2)),VALUE(MID(C789,1,2)))+TIME(VALUE(MID(C789,12,2)),VALUE(MID(C789,15,2)),0)</f>
        <v>37259.4284722222</v>
      </c>
      <c r="U789" s="2" t="str">
        <f aca="false">IF(AND(ISNUMBER(VALUE(MID(A789,7,1))),ISNUMBER(SEARCH("km",A789)),ISNUMBER(SEARCH("of",A789))),"Distance-location","Named-region")</f>
        <v>Named-region</v>
      </c>
      <c r="V789" s="2" t="str">
        <f aca="false">LOWER(M789)</f>
        <v>mwc</v>
      </c>
      <c r="W789" s="5" t="str">
        <f aca="false">IF(COUNTIFS($A$2:$A$1001,A789,$C$2:$C$1001,C789)&gt;1,"Duplicate","Unique")</f>
        <v>Unique</v>
      </c>
    </row>
    <row r="790" customFormat="false" ht="15" hidden="false" customHeight="false" outlineLevel="0" collapsed="false">
      <c r="A790" s="2" t="s">
        <v>2059</v>
      </c>
      <c r="B790" s="3" t="n">
        <v>7.2</v>
      </c>
      <c r="C790" s="2" t="s">
        <v>2060</v>
      </c>
      <c r="D790" s="2" t="n">
        <v>0</v>
      </c>
      <c r="E790" s="2" t="n">
        <v>6</v>
      </c>
      <c r="F790" s="2"/>
      <c r="G790" s="2" t="n">
        <v>0</v>
      </c>
      <c r="H790" s="2" t="n">
        <v>798</v>
      </c>
      <c r="I790" s="2" t="s">
        <v>26</v>
      </c>
      <c r="J790" s="2" t="n">
        <v>427</v>
      </c>
      <c r="K790" s="2" t="n">
        <v>0</v>
      </c>
      <c r="L790" s="2" t="n">
        <v>0</v>
      </c>
      <c r="M790" s="2" t="s">
        <v>131</v>
      </c>
      <c r="N790" s="3" t="n">
        <v>21</v>
      </c>
      <c r="O790" s="3" t="n">
        <v>-17.6</v>
      </c>
      <c r="P790" s="3" t="n">
        <v>167.856</v>
      </c>
      <c r="Q790" s="3" t="s">
        <v>993</v>
      </c>
      <c r="R790" s="2"/>
      <c r="S790" s="2" t="s">
        <v>29</v>
      </c>
      <c r="T790" s="4" t="n">
        <f aca="false">DATE(VALUE(MID(C790,7,4)),VALUE(MID(C790,4,2)),VALUE(MID(C790,1,2)))+TIME(VALUE(MID(C790,12,2)),VALUE(MID(C790,15,2)),0)</f>
        <v>37258.7236111111</v>
      </c>
      <c r="U790" s="2" t="str">
        <f aca="false">IF(AND(ISNUMBER(VALUE(MID(A790,7,1))),ISNUMBER(SEARCH("km",A790)),ISNUMBER(SEARCH("of",A790))),"Distance-location","Named-region")</f>
        <v>Named-region</v>
      </c>
      <c r="V790" s="2" t="str">
        <f aca="false">LOWER(M790)</f>
        <v>mwc</v>
      </c>
      <c r="W790" s="5" t="str">
        <f aca="false">IF(COUNTIFS($A$2:$A$1001,A790,$C$2:$C$1001,C790)&gt;1,"Duplicate","Unique")</f>
        <v>Unique</v>
      </c>
    </row>
    <row r="791" customFormat="false" ht="15" hidden="false" customHeight="false" outlineLevel="0" collapsed="false">
      <c r="A791" s="2" t="s">
        <v>2061</v>
      </c>
      <c r="B791" s="3" t="n">
        <v>6.8</v>
      </c>
      <c r="C791" s="2" t="s">
        <v>2062</v>
      </c>
      <c r="D791" s="2" t="n">
        <v>0</v>
      </c>
      <c r="E791" s="2" t="n">
        <v>7</v>
      </c>
      <c r="F791" s="2"/>
      <c r="G791" s="2" t="n">
        <v>0</v>
      </c>
      <c r="H791" s="2" t="n">
        <v>711</v>
      </c>
      <c r="I791" s="2" t="s">
        <v>26</v>
      </c>
      <c r="J791" s="2" t="n">
        <v>385</v>
      </c>
      <c r="K791" s="2" t="n">
        <v>0</v>
      </c>
      <c r="L791" s="2" t="n">
        <v>0</v>
      </c>
      <c r="M791" s="2" t="s">
        <v>131</v>
      </c>
      <c r="N791" s="3" t="n">
        <v>16</v>
      </c>
      <c r="O791" s="3" t="n">
        <v>-9.613</v>
      </c>
      <c r="P791" s="3" t="n">
        <v>159.53</v>
      </c>
      <c r="Q791" s="3" t="s">
        <v>142</v>
      </c>
      <c r="R791" s="2"/>
      <c r="S791" s="2" t="s">
        <v>144</v>
      </c>
      <c r="T791" s="4" t="n">
        <f aca="false">DATE(VALUE(MID(C791,7,4)),VALUE(MID(C791,4,2)),VALUE(MID(C791,1,2)))+TIME(VALUE(MID(C791,12,2)),VALUE(MID(C791,15,2)),0)</f>
        <v>37248.9527777778</v>
      </c>
      <c r="U791" s="2" t="str">
        <f aca="false">IF(AND(ISNUMBER(VALUE(MID(A791,7,1))),ISNUMBER(SEARCH("km",A791)),ISNUMBER(SEARCH("of",A791))),"Distance-location","Named-region")</f>
        <v>Named-region</v>
      </c>
      <c r="V791" s="2" t="str">
        <f aca="false">LOWER(M791)</f>
        <v>mwc</v>
      </c>
      <c r="W791" s="5" t="str">
        <f aca="false">IF(COUNTIFS($A$2:$A$1001,A791,$C$2:$C$1001,C791)&gt;1,"Duplicate","Unique")</f>
        <v>Unique</v>
      </c>
    </row>
    <row r="792" customFormat="false" ht="15" hidden="false" customHeight="false" outlineLevel="0" collapsed="false">
      <c r="A792" s="2" t="s">
        <v>2063</v>
      </c>
      <c r="B792" s="3" t="n">
        <v>6.8</v>
      </c>
      <c r="C792" s="2" t="s">
        <v>2064</v>
      </c>
      <c r="D792" s="2" t="n">
        <v>0</v>
      </c>
      <c r="E792" s="2" t="n">
        <v>5</v>
      </c>
      <c r="F792" s="2"/>
      <c r="G792" s="2" t="n">
        <v>0</v>
      </c>
      <c r="H792" s="2" t="n">
        <v>711</v>
      </c>
      <c r="I792" s="2" t="s">
        <v>26</v>
      </c>
      <c r="J792" s="2" t="n">
        <v>499</v>
      </c>
      <c r="K792" s="2" t="n">
        <v>0</v>
      </c>
      <c r="L792" s="2" t="n">
        <v>0</v>
      </c>
      <c r="M792" s="2" t="s">
        <v>131</v>
      </c>
      <c r="N792" s="3" t="n">
        <v>14</v>
      </c>
      <c r="O792" s="3" t="n">
        <v>23.954</v>
      </c>
      <c r="P792" s="3" t="n">
        <v>122.734</v>
      </c>
      <c r="Q792" s="3" t="s">
        <v>1888</v>
      </c>
      <c r="R792" s="2"/>
      <c r="S792" s="2"/>
      <c r="T792" s="4" t="n">
        <f aca="false">DATE(VALUE(MID(C792,7,4)),VALUE(MID(C792,4,2)),VALUE(MID(C792,1,2)))+TIME(VALUE(MID(C792,12,2)),VALUE(MID(C792,15,2)),0)</f>
        <v>37243.1680555556</v>
      </c>
      <c r="U792" s="2" t="str">
        <f aca="false">IF(AND(ISNUMBER(VALUE(MID(A792,7,1))),ISNUMBER(SEARCH("km",A792)),ISNUMBER(SEARCH("of",A792))),"Distance-location","Named-region")</f>
        <v>Named-region</v>
      </c>
      <c r="V792" s="2" t="str">
        <f aca="false">LOWER(M792)</f>
        <v>mwc</v>
      </c>
      <c r="W792" s="5" t="str">
        <f aca="false">IF(COUNTIFS($A$2:$A$1001,A792,$C$2:$C$1001,C792)&gt;1,"Duplicate","Unique")</f>
        <v>Unique</v>
      </c>
    </row>
    <row r="793" customFormat="false" ht="15" hidden="false" customHeight="false" outlineLevel="0" collapsed="false">
      <c r="A793" s="2" t="s">
        <v>2065</v>
      </c>
      <c r="B793" s="3" t="n">
        <v>6.5</v>
      </c>
      <c r="C793" s="2" t="s">
        <v>2066</v>
      </c>
      <c r="D793" s="2" t="n">
        <v>0</v>
      </c>
      <c r="E793" s="2" t="n">
        <v>5</v>
      </c>
      <c r="F793" s="2"/>
      <c r="G793" s="2" t="n">
        <v>0</v>
      </c>
      <c r="H793" s="2" t="n">
        <v>650</v>
      </c>
      <c r="I793" s="2" t="s">
        <v>26</v>
      </c>
      <c r="J793" s="2" t="n">
        <v>605</v>
      </c>
      <c r="K793" s="2" t="n">
        <v>0</v>
      </c>
      <c r="L793" s="2" t="n">
        <v>0</v>
      </c>
      <c r="M793" s="2" t="s">
        <v>131</v>
      </c>
      <c r="N793" s="3" t="n">
        <v>123.8</v>
      </c>
      <c r="O793" s="3" t="n">
        <v>39.402</v>
      </c>
      <c r="P793" s="3" t="n">
        <v>141.089</v>
      </c>
      <c r="Q793" s="3" t="s">
        <v>2067</v>
      </c>
      <c r="R793" s="2" t="s">
        <v>84</v>
      </c>
      <c r="S793" s="2" t="s">
        <v>326</v>
      </c>
      <c r="T793" s="4" t="n">
        <f aca="false">DATE(VALUE(MID(C793,7,4)),VALUE(MID(C793,4,2)),VALUE(MID(C793,1,2)))+TIME(VALUE(MID(C793,12,2)),VALUE(MID(C793,15,2)),0)</f>
        <v>37227.5423611111</v>
      </c>
      <c r="U793" s="2" t="str">
        <f aca="false">IF(AND(ISNUMBER(VALUE(MID(A793,7,1))),ISNUMBER(SEARCH("km",A793)),ISNUMBER(SEARCH("of",A793))),"Distance-location","Named-region")</f>
        <v>Named-region</v>
      </c>
      <c r="V793" s="2" t="str">
        <f aca="false">LOWER(M793)</f>
        <v>mwc</v>
      </c>
      <c r="W793" s="5" t="str">
        <f aca="false">IF(COUNTIFS($A$2:$A$1001,A793,$C$2:$C$1001,C793)&gt;1,"Duplicate","Unique")</f>
        <v>Unique</v>
      </c>
    </row>
    <row r="794" customFormat="false" ht="15" hidden="false" customHeight="false" outlineLevel="0" collapsed="false">
      <c r="A794" s="2" t="s">
        <v>2068</v>
      </c>
      <c r="B794" s="3" t="n">
        <v>7.8</v>
      </c>
      <c r="C794" s="2" t="s">
        <v>2069</v>
      </c>
      <c r="D794" s="2" t="n">
        <v>0</v>
      </c>
      <c r="E794" s="2" t="n">
        <v>9</v>
      </c>
      <c r="F794" s="2"/>
      <c r="G794" s="2" t="n">
        <v>0</v>
      </c>
      <c r="H794" s="2" t="n">
        <v>936</v>
      </c>
      <c r="I794" s="2" t="s">
        <v>26</v>
      </c>
      <c r="J794" s="2" t="n">
        <v>368</v>
      </c>
      <c r="K794" s="2" t="n">
        <v>0</v>
      </c>
      <c r="L794" s="2" t="n">
        <v>0</v>
      </c>
      <c r="M794" s="2" t="s">
        <v>131</v>
      </c>
      <c r="N794" s="3" t="n">
        <v>10</v>
      </c>
      <c r="O794" s="3" t="n">
        <v>35.946</v>
      </c>
      <c r="P794" s="3" t="n">
        <v>90.541</v>
      </c>
      <c r="Q794" s="3" t="s">
        <v>318</v>
      </c>
      <c r="R794" s="2" t="s">
        <v>84</v>
      </c>
      <c r="S794" s="2" t="s">
        <v>188</v>
      </c>
      <c r="T794" s="4" t="n">
        <f aca="false">DATE(VALUE(MID(C794,7,4)),VALUE(MID(C794,4,2)),VALUE(MID(C794,1,2)))+TIME(VALUE(MID(C794,12,2)),VALUE(MID(C794,15,2)),0)</f>
        <v>37209.3930555556</v>
      </c>
      <c r="U794" s="2" t="str">
        <f aca="false">IF(AND(ISNUMBER(VALUE(MID(A794,7,1))),ISNUMBER(SEARCH("km",A794)),ISNUMBER(SEARCH("of",A794))),"Distance-location","Named-region")</f>
        <v>Named-region</v>
      </c>
      <c r="V794" s="2" t="str">
        <f aca="false">LOWER(M794)</f>
        <v>mwc</v>
      </c>
      <c r="W794" s="5" t="str">
        <f aca="false">IF(COUNTIFS($A$2:$A$1001,A794,$C$2:$C$1001,C794)&gt;1,"Duplicate","Unique")</f>
        <v>Unique</v>
      </c>
    </row>
    <row r="795" customFormat="false" ht="15" hidden="false" customHeight="false" outlineLevel="0" collapsed="false">
      <c r="A795" s="2" t="s">
        <v>2070</v>
      </c>
      <c r="B795" s="3" t="n">
        <v>7</v>
      </c>
      <c r="C795" s="2" t="s">
        <v>2071</v>
      </c>
      <c r="D795" s="2" t="n">
        <v>0</v>
      </c>
      <c r="E795" s="2" t="n">
        <v>7</v>
      </c>
      <c r="F795" s="2"/>
      <c r="G795" s="2" t="n">
        <v>0</v>
      </c>
      <c r="H795" s="2" t="n">
        <v>754</v>
      </c>
      <c r="I795" s="2" t="s">
        <v>26</v>
      </c>
      <c r="J795" s="2" t="n">
        <v>254</v>
      </c>
      <c r="K795" s="2" t="n">
        <v>0</v>
      </c>
      <c r="L795" s="2" t="n">
        <v>0</v>
      </c>
      <c r="M795" s="2" t="s">
        <v>131</v>
      </c>
      <c r="N795" s="3" t="n">
        <v>33</v>
      </c>
      <c r="O795" s="3" t="n">
        <v>-5.912</v>
      </c>
      <c r="P795" s="3" t="n">
        <v>150.196</v>
      </c>
      <c r="Q795" s="3" t="s">
        <v>111</v>
      </c>
      <c r="R795" s="2"/>
      <c r="S795" s="2" t="s">
        <v>89</v>
      </c>
      <c r="T795" s="4" t="n">
        <f aca="false">DATE(VALUE(MID(C795,7,4)),VALUE(MID(C795,4,2)),VALUE(MID(C795,1,2)))+TIME(VALUE(MID(C795,12,2)),VALUE(MID(C795,15,2)),0)</f>
        <v>37195.3819444444</v>
      </c>
      <c r="U795" s="2" t="str">
        <f aca="false">IF(AND(ISNUMBER(VALUE(MID(A795,7,1))),ISNUMBER(SEARCH("km",A795)),ISNUMBER(SEARCH("of",A795))),"Distance-location","Named-region")</f>
        <v>Named-region</v>
      </c>
      <c r="V795" s="2" t="str">
        <f aca="false">LOWER(M795)</f>
        <v>mwc</v>
      </c>
      <c r="W795" s="5" t="str">
        <f aca="false">IF(COUNTIFS($A$2:$A$1001,A795,$C$2:$C$1001,C795)&gt;1,"Duplicate","Unique")</f>
        <v>Unique</v>
      </c>
    </row>
    <row r="796" customFormat="false" ht="15" hidden="false" customHeight="false" outlineLevel="0" collapsed="false">
      <c r="A796" s="2" t="s">
        <v>2072</v>
      </c>
      <c r="B796" s="3" t="n">
        <v>7.5</v>
      </c>
      <c r="C796" s="2" t="s">
        <v>2073</v>
      </c>
      <c r="D796" s="2" t="n">
        <v>0</v>
      </c>
      <c r="E796" s="2" t="n">
        <v>6</v>
      </c>
      <c r="F796" s="2"/>
      <c r="G796" s="2" t="n">
        <v>0</v>
      </c>
      <c r="H796" s="2" t="n">
        <v>865</v>
      </c>
      <c r="I796" s="2" t="s">
        <v>26</v>
      </c>
      <c r="J796" s="2" t="n">
        <v>234</v>
      </c>
      <c r="K796" s="2" t="n">
        <v>0</v>
      </c>
      <c r="L796" s="2" t="n">
        <v>0</v>
      </c>
      <c r="M796" s="2" t="s">
        <v>131</v>
      </c>
      <c r="N796" s="3" t="n">
        <v>33</v>
      </c>
      <c r="O796" s="3" t="n">
        <v>-4.102</v>
      </c>
      <c r="P796" s="3" t="n">
        <v>123.907</v>
      </c>
      <c r="Q796" s="3" t="s">
        <v>2074</v>
      </c>
      <c r="R796" s="2"/>
      <c r="S796" s="2" t="s">
        <v>72</v>
      </c>
      <c r="T796" s="4" t="n">
        <f aca="false">DATE(VALUE(MID(C796,7,4)),VALUE(MID(C796,4,2)),VALUE(MID(C796,1,2)))+TIME(VALUE(MID(C796,12,2)),VALUE(MID(C796,15,2)),0)</f>
        <v>37183.1444444444</v>
      </c>
      <c r="U796" s="2" t="str">
        <f aca="false">IF(AND(ISNUMBER(VALUE(MID(A796,7,1))),ISNUMBER(SEARCH("km",A796)),ISNUMBER(SEARCH("of",A796))),"Distance-location","Named-region")</f>
        <v>Named-region</v>
      </c>
      <c r="V796" s="2" t="str">
        <f aca="false">LOWER(M796)</f>
        <v>mwc</v>
      </c>
      <c r="W796" s="5" t="str">
        <f aca="false">IF(COUNTIFS($A$2:$A$1001,A796,$C$2:$C$1001,C796)&gt;1,"Duplicate","Unique")</f>
        <v>Unique</v>
      </c>
    </row>
    <row r="797" customFormat="false" ht="15" hidden="false" customHeight="false" outlineLevel="0" collapsed="false">
      <c r="A797" s="2" t="s">
        <v>2075</v>
      </c>
      <c r="B797" s="3" t="n">
        <v>7</v>
      </c>
      <c r="C797" s="2" t="s">
        <v>2076</v>
      </c>
      <c r="D797" s="2" t="n">
        <v>0</v>
      </c>
      <c r="E797" s="2" t="n">
        <v>6</v>
      </c>
      <c r="F797" s="2"/>
      <c r="G797" s="2" t="n">
        <v>0</v>
      </c>
      <c r="H797" s="2" t="n">
        <v>754</v>
      </c>
      <c r="I797" s="2" t="s">
        <v>26</v>
      </c>
      <c r="J797" s="2" t="n">
        <v>482</v>
      </c>
      <c r="K797" s="2" t="n">
        <v>0</v>
      </c>
      <c r="L797" s="2" t="n">
        <v>0</v>
      </c>
      <c r="M797" s="2" t="s">
        <v>131</v>
      </c>
      <c r="N797" s="3" t="n">
        <v>37</v>
      </c>
      <c r="O797" s="3" t="n">
        <v>12.686</v>
      </c>
      <c r="P797" s="3" t="n">
        <v>144.98</v>
      </c>
      <c r="Q797" s="3" t="s">
        <v>2077</v>
      </c>
      <c r="R797" s="2"/>
      <c r="S797" s="2"/>
      <c r="T797" s="4" t="n">
        <f aca="false">DATE(VALUE(MID(C797,7,4)),VALUE(MID(C797,4,2)),VALUE(MID(C797,1,2)))+TIME(VALUE(MID(C797,12,2)),VALUE(MID(C797,15,2)),0)</f>
        <v>37176.6263888889</v>
      </c>
      <c r="U797" s="2" t="str">
        <f aca="false">IF(AND(ISNUMBER(VALUE(MID(A797,7,1))),ISNUMBER(SEARCH("km",A797)),ISNUMBER(SEARCH("of",A797))),"Distance-location","Named-region")</f>
        <v>Named-region</v>
      </c>
      <c r="V797" s="2" t="str">
        <f aca="false">LOWER(M797)</f>
        <v>mwc</v>
      </c>
      <c r="W797" s="5" t="str">
        <f aca="false">IF(COUNTIFS($A$2:$A$1001,A797,$C$2:$C$1001,C797)&gt;1,"Duplicate","Unique")</f>
        <v>Unique</v>
      </c>
    </row>
    <row r="798" customFormat="false" ht="15" hidden="false" customHeight="false" outlineLevel="0" collapsed="false">
      <c r="A798" s="2" t="s">
        <v>2078</v>
      </c>
      <c r="B798" s="3" t="n">
        <v>6.5</v>
      </c>
      <c r="C798" s="2" t="s">
        <v>2079</v>
      </c>
      <c r="D798" s="2" t="n">
        <v>0</v>
      </c>
      <c r="E798" s="2" t="n">
        <v>6</v>
      </c>
      <c r="F798" s="2"/>
      <c r="G798" s="2" t="n">
        <v>0</v>
      </c>
      <c r="H798" s="2" t="n">
        <v>650</v>
      </c>
      <c r="I798" s="2" t="s">
        <v>26</v>
      </c>
      <c r="J798" s="2" t="n">
        <v>174</v>
      </c>
      <c r="K798" s="2" t="n">
        <v>0</v>
      </c>
      <c r="L798" s="2" t="n">
        <v>0</v>
      </c>
      <c r="M798" s="2" t="s">
        <v>131</v>
      </c>
      <c r="N798" s="3" t="n">
        <v>33</v>
      </c>
      <c r="O798" s="3" t="n">
        <v>-0.578</v>
      </c>
      <c r="P798" s="3" t="n">
        <v>133.13</v>
      </c>
      <c r="Q798" s="3" t="s">
        <v>1279</v>
      </c>
      <c r="R798" s="2"/>
      <c r="S798" s="2" t="s">
        <v>72</v>
      </c>
      <c r="T798" s="4" t="n">
        <f aca="false">DATE(VALUE(MID(C798,7,4)),VALUE(MID(C798,4,2)),VALUE(MID(C798,1,2)))+TIME(VALUE(MID(C798,12,2)),VALUE(MID(C798,15,2)),0)</f>
        <v>37145.6222222222</v>
      </c>
      <c r="U798" s="2" t="str">
        <f aca="false">IF(AND(ISNUMBER(VALUE(MID(A798,7,1))),ISNUMBER(SEARCH("km",A798)),ISNUMBER(SEARCH("of",A798))),"Distance-location","Named-region")</f>
        <v>Named-region</v>
      </c>
      <c r="V798" s="2" t="str">
        <f aca="false">LOWER(M798)</f>
        <v>mwc</v>
      </c>
      <c r="W798" s="5" t="str">
        <f aca="false">IF(COUNTIFS($A$2:$A$1001,A798,$C$2:$C$1001,C798)&gt;1,"Duplicate","Unique")</f>
        <v>Unique</v>
      </c>
    </row>
    <row r="799" customFormat="false" ht="15" hidden="false" customHeight="false" outlineLevel="0" collapsed="false">
      <c r="A799" s="2" t="s">
        <v>2080</v>
      </c>
      <c r="B799" s="3" t="n">
        <v>6.6</v>
      </c>
      <c r="C799" s="2" t="s">
        <v>2081</v>
      </c>
      <c r="D799" s="2" t="n">
        <v>6</v>
      </c>
      <c r="E799" s="2" t="n">
        <v>6</v>
      </c>
      <c r="F799" s="2"/>
      <c r="G799" s="2" t="n">
        <v>0</v>
      </c>
      <c r="H799" s="2" t="n">
        <v>754</v>
      </c>
      <c r="I799" s="2" t="s">
        <v>263</v>
      </c>
      <c r="J799" s="2" t="n">
        <v>0</v>
      </c>
      <c r="K799" s="2" t="n">
        <v>0</v>
      </c>
      <c r="L799" s="2" t="n">
        <v>0</v>
      </c>
      <c r="M799" s="2" t="s">
        <v>489</v>
      </c>
      <c r="N799" s="3" t="n">
        <v>131.8</v>
      </c>
      <c r="O799" s="3" t="n">
        <v>58.775</v>
      </c>
      <c r="P799" s="3" t="n">
        <v>-154.701</v>
      </c>
      <c r="Q799" s="3" t="s">
        <v>2082</v>
      </c>
      <c r="R799" s="2" t="s">
        <v>168</v>
      </c>
      <c r="S799" s="2" t="s">
        <v>265</v>
      </c>
      <c r="T799" s="4" t="n">
        <f aca="false">DATE(VALUE(MID(C799,7,4)),VALUE(MID(C799,4,2)),VALUE(MID(C799,1,2)))+TIME(VALUE(MID(C799,12,2)),VALUE(MID(C799,15,2)),0)</f>
        <v>37100.3138888889</v>
      </c>
      <c r="U799" s="2" t="str">
        <f aca="false">IF(AND(ISNUMBER(VALUE(MID(A799,7,1))),ISNUMBER(SEARCH("km",A799)),ISNUMBER(SEARCH("of",A799))),"Distance-location","Named-region")</f>
        <v>Named-region</v>
      </c>
      <c r="V799" s="2" t="str">
        <f aca="false">LOWER(M799)</f>
        <v>mw</v>
      </c>
      <c r="W799" s="5" t="str">
        <f aca="false">IF(COUNTIFS($A$2:$A$1001,A799,$C$2:$C$1001,C799)&gt;1,"Duplicate","Unique")</f>
        <v>Unique</v>
      </c>
    </row>
    <row r="800" customFormat="false" ht="15" hidden="false" customHeight="false" outlineLevel="0" collapsed="false">
      <c r="A800" s="2" t="s">
        <v>2083</v>
      </c>
      <c r="B800" s="3" t="n">
        <v>6.5</v>
      </c>
      <c r="C800" s="2" t="s">
        <v>2084</v>
      </c>
      <c r="D800" s="2" t="n">
        <v>0</v>
      </c>
      <c r="E800" s="2" t="n">
        <v>8</v>
      </c>
      <c r="F800" s="2"/>
      <c r="G800" s="2" t="n">
        <v>0</v>
      </c>
      <c r="H800" s="2" t="n">
        <v>650</v>
      </c>
      <c r="I800" s="2" t="s">
        <v>26</v>
      </c>
      <c r="J800" s="2" t="n">
        <v>483</v>
      </c>
      <c r="K800" s="2" t="n">
        <v>0</v>
      </c>
      <c r="L800" s="2" t="n">
        <v>0</v>
      </c>
      <c r="M800" s="2" t="s">
        <v>131</v>
      </c>
      <c r="N800" s="3" t="n">
        <v>10</v>
      </c>
      <c r="O800" s="3" t="n">
        <v>39.059</v>
      </c>
      <c r="P800" s="3" t="n">
        <v>24.244</v>
      </c>
      <c r="Q800" s="3" t="s">
        <v>2085</v>
      </c>
      <c r="R800" s="2" t="s">
        <v>365</v>
      </c>
      <c r="S800" s="2" t="s">
        <v>366</v>
      </c>
      <c r="T800" s="4" t="n">
        <f aca="false">DATE(VALUE(MID(C800,7,4)),VALUE(MID(C800,4,2)),VALUE(MID(C800,1,2)))+TIME(VALUE(MID(C800,12,2)),VALUE(MID(C800,15,2)),0)</f>
        <v>37098.0145833333</v>
      </c>
      <c r="U800" s="2" t="str">
        <f aca="false">IF(AND(ISNUMBER(VALUE(MID(A800,7,1))),ISNUMBER(SEARCH("km",A800)),ISNUMBER(SEARCH("of",A800))),"Distance-location","Named-region")</f>
        <v>Named-region</v>
      </c>
      <c r="V800" s="2" t="str">
        <f aca="false">LOWER(M800)</f>
        <v>mwc</v>
      </c>
      <c r="W800" s="5" t="str">
        <f aca="false">IF(COUNTIFS($A$2:$A$1001,A800,$C$2:$C$1001,C800)&gt;1,"Duplicate","Unique")</f>
        <v>Unique</v>
      </c>
    </row>
    <row r="801" customFormat="false" ht="15" hidden="false" customHeight="false" outlineLevel="0" collapsed="false">
      <c r="A801" s="2" t="s">
        <v>2086</v>
      </c>
      <c r="B801" s="3" t="n">
        <v>7.6</v>
      </c>
      <c r="C801" s="2" t="s">
        <v>2087</v>
      </c>
      <c r="D801" s="2" t="n">
        <v>0</v>
      </c>
      <c r="E801" s="2" t="n">
        <v>7</v>
      </c>
      <c r="F801" s="2"/>
      <c r="G801" s="2" t="n">
        <v>0</v>
      </c>
      <c r="H801" s="2" t="n">
        <v>889</v>
      </c>
      <c r="I801" s="2" t="s">
        <v>26</v>
      </c>
      <c r="J801" s="2" t="n">
        <v>398</v>
      </c>
      <c r="K801" s="2" t="n">
        <v>0</v>
      </c>
      <c r="L801" s="2" t="n">
        <v>0</v>
      </c>
      <c r="M801" s="2" t="s">
        <v>131</v>
      </c>
      <c r="N801" s="3" t="n">
        <v>33</v>
      </c>
      <c r="O801" s="3" t="n">
        <v>-17.543</v>
      </c>
      <c r="P801" s="3" t="n">
        <v>-72.077</v>
      </c>
      <c r="Q801" s="3" t="s">
        <v>2088</v>
      </c>
      <c r="R801" s="2"/>
      <c r="S801" s="2" t="s">
        <v>203</v>
      </c>
      <c r="T801" s="4" t="n">
        <f aca="false">DATE(VALUE(MID(C801,7,4)),VALUE(MID(C801,4,2)),VALUE(MID(C801,1,2)))+TIME(VALUE(MID(C801,12,2)),VALUE(MID(C801,15,2)),0)</f>
        <v>37079.4013888889</v>
      </c>
      <c r="U801" s="2" t="str">
        <f aca="false">IF(AND(ISNUMBER(VALUE(MID(A801,7,1))),ISNUMBER(SEARCH("km",A801)),ISNUMBER(SEARCH("of",A801))),"Distance-location","Named-region")</f>
        <v>Named-region</v>
      </c>
      <c r="V801" s="2" t="str">
        <f aca="false">LOWER(M801)</f>
        <v>mwc</v>
      </c>
      <c r="W801" s="5" t="str">
        <f aca="false">IF(COUNTIFS($A$2:$A$1001,A801,$C$2:$C$1001,C801)&gt;1,"Duplicate","Unique")</f>
        <v>Unique</v>
      </c>
    </row>
    <row r="802" customFormat="false" ht="15" hidden="false" customHeight="false" outlineLevel="0" collapsed="false">
      <c r="A802" s="2" t="s">
        <v>2089</v>
      </c>
      <c r="B802" s="3" t="n">
        <v>6.6</v>
      </c>
      <c r="C802" s="2" t="s">
        <v>2090</v>
      </c>
      <c r="D802" s="2" t="n">
        <v>0</v>
      </c>
      <c r="E802" s="2" t="n">
        <v>7</v>
      </c>
      <c r="F802" s="2"/>
      <c r="G802" s="2" t="n">
        <v>0</v>
      </c>
      <c r="H802" s="2" t="n">
        <v>670</v>
      </c>
      <c r="I802" s="2" t="s">
        <v>26</v>
      </c>
      <c r="J802" s="2" t="n">
        <v>324</v>
      </c>
      <c r="K802" s="2" t="n">
        <v>0</v>
      </c>
      <c r="L802" s="2" t="n">
        <v>0</v>
      </c>
      <c r="M802" s="2" t="s">
        <v>131</v>
      </c>
      <c r="N802" s="3" t="n">
        <v>62</v>
      </c>
      <c r="O802" s="3" t="n">
        <v>-16.086</v>
      </c>
      <c r="P802" s="3" t="n">
        <v>-73.987</v>
      </c>
      <c r="Q802" s="3" t="s">
        <v>2091</v>
      </c>
      <c r="R802" s="2"/>
      <c r="S802" s="2" t="s">
        <v>203</v>
      </c>
      <c r="T802" s="4" t="n">
        <f aca="false">DATE(VALUE(MID(C802,7,4)),VALUE(MID(C802,4,2)),VALUE(MID(C802,1,2)))+TIME(VALUE(MID(C802,12,2)),VALUE(MID(C802,15,2)),0)</f>
        <v>37077.5784722222</v>
      </c>
      <c r="U802" s="2" t="str">
        <f aca="false">IF(AND(ISNUMBER(VALUE(MID(A802,7,1))),ISNUMBER(SEARCH("km",A802)),ISNUMBER(SEARCH("of",A802))),"Distance-location","Named-region")</f>
        <v>Named-region</v>
      </c>
      <c r="V802" s="2" t="str">
        <f aca="false">LOWER(M802)</f>
        <v>mwc</v>
      </c>
      <c r="W802" s="5" t="str">
        <f aca="false">IF(COUNTIFS($A$2:$A$1001,A802,$C$2:$C$1001,C802)&gt;1,"Duplicate","Unique")</f>
        <v>Unique</v>
      </c>
    </row>
    <row r="803" customFormat="false" ht="15" hidden="false" customHeight="false" outlineLevel="0" collapsed="false">
      <c r="A803" s="2" t="s">
        <v>2092</v>
      </c>
      <c r="B803" s="3" t="n">
        <v>6.7</v>
      </c>
      <c r="C803" s="2" t="s">
        <v>2093</v>
      </c>
      <c r="D803" s="2" t="n">
        <v>0</v>
      </c>
      <c r="E803" s="2" t="n">
        <v>6</v>
      </c>
      <c r="F803" s="2"/>
      <c r="G803" s="2" t="n">
        <v>0</v>
      </c>
      <c r="H803" s="2" t="n">
        <v>691</v>
      </c>
      <c r="I803" s="2" t="s">
        <v>26</v>
      </c>
      <c r="J803" s="2" t="n">
        <v>422</v>
      </c>
      <c r="K803" s="2" t="n">
        <v>0</v>
      </c>
      <c r="L803" s="2" t="n">
        <v>0</v>
      </c>
      <c r="M803" s="2" t="s">
        <v>131</v>
      </c>
      <c r="N803" s="3" t="n">
        <v>24</v>
      </c>
      <c r="O803" s="3" t="n">
        <v>-17.745</v>
      </c>
      <c r="P803" s="3" t="n">
        <v>-71.649</v>
      </c>
      <c r="Q803" s="3" t="s">
        <v>2094</v>
      </c>
      <c r="R803" s="2"/>
      <c r="S803" s="2" t="s">
        <v>203</v>
      </c>
      <c r="T803" s="4" t="n">
        <f aca="false">DATE(VALUE(MID(C803,7,4)),VALUE(MID(C803,4,2)),VALUE(MID(C803,1,2)))+TIME(VALUE(MID(C803,12,2)),VALUE(MID(C803,15,2)),0)</f>
        <v>37068.1791666667</v>
      </c>
      <c r="U803" s="2" t="str">
        <f aca="false">IF(AND(ISNUMBER(VALUE(MID(A803,7,1))),ISNUMBER(SEARCH("km",A803)),ISNUMBER(SEARCH("of",A803))),"Distance-location","Named-region")</f>
        <v>Named-region</v>
      </c>
      <c r="V803" s="2" t="str">
        <f aca="false">LOWER(M803)</f>
        <v>mwc</v>
      </c>
      <c r="W803" s="5" t="str">
        <f aca="false">IF(COUNTIFS($A$2:$A$1001,A803,$C$2:$C$1001,C803)&gt;1,"Duplicate","Unique")</f>
        <v>Unique</v>
      </c>
    </row>
    <row r="804" customFormat="false" ht="15" hidden="false" customHeight="false" outlineLevel="0" collapsed="false">
      <c r="A804" s="2" t="s">
        <v>2095</v>
      </c>
      <c r="B804" s="3" t="n">
        <v>8.4</v>
      </c>
      <c r="C804" s="2" t="s">
        <v>2096</v>
      </c>
      <c r="D804" s="2" t="n">
        <v>0</v>
      </c>
      <c r="E804" s="2" t="n">
        <v>8</v>
      </c>
      <c r="F804" s="2"/>
      <c r="G804" s="2" t="n">
        <v>0</v>
      </c>
      <c r="H804" s="2" t="n">
        <v>1086</v>
      </c>
      <c r="I804" s="2" t="s">
        <v>1297</v>
      </c>
      <c r="J804" s="2" t="n">
        <v>518</v>
      </c>
      <c r="K804" s="2" t="n">
        <v>0</v>
      </c>
      <c r="L804" s="2" t="n">
        <v>0</v>
      </c>
      <c r="M804" s="2" t="s">
        <v>27</v>
      </c>
      <c r="N804" s="3" t="n">
        <v>33</v>
      </c>
      <c r="O804" s="3" t="n">
        <v>-16.265</v>
      </c>
      <c r="P804" s="3" t="n">
        <v>-73.641</v>
      </c>
      <c r="Q804" s="3" t="s">
        <v>2097</v>
      </c>
      <c r="R804" s="2"/>
      <c r="S804" s="2" t="s">
        <v>203</v>
      </c>
      <c r="T804" s="4" t="n">
        <f aca="false">DATE(VALUE(MID(C804,7,4)),VALUE(MID(C804,4,2)),VALUE(MID(C804,1,2)))+TIME(VALUE(MID(C804,12,2)),VALUE(MID(C804,15,2)),0)</f>
        <v>37065.85625</v>
      </c>
      <c r="U804" s="2" t="str">
        <f aca="false">IF(AND(ISNUMBER(VALUE(MID(A804,7,1))),ISNUMBER(SEARCH("km",A804)),ISNUMBER(SEARCH("of",A804))),"Distance-location","Named-region")</f>
        <v>Named-region</v>
      </c>
      <c r="V804" s="2" t="str">
        <f aca="false">LOWER(M804)</f>
        <v>mww</v>
      </c>
      <c r="W804" s="5" t="str">
        <f aca="false">IF(COUNTIFS($A$2:$A$1001,A804,$C$2:$C$1001,C804)&gt;1,"Duplicate","Unique")</f>
        <v>Unique</v>
      </c>
    </row>
    <row r="805" customFormat="false" ht="15" hidden="false" customHeight="false" outlineLevel="0" collapsed="false">
      <c r="A805" s="2" t="s">
        <v>2098</v>
      </c>
      <c r="B805" s="3" t="n">
        <v>6.7</v>
      </c>
      <c r="C805" s="2" t="s">
        <v>2099</v>
      </c>
      <c r="D805" s="2" t="n">
        <v>0</v>
      </c>
      <c r="E805" s="2" t="n">
        <v>6</v>
      </c>
      <c r="F805" s="2"/>
      <c r="G805" s="2" t="n">
        <v>0</v>
      </c>
      <c r="H805" s="2" t="n">
        <v>691</v>
      </c>
      <c r="I805" s="2" t="s">
        <v>26</v>
      </c>
      <c r="J805" s="2" t="n">
        <v>282</v>
      </c>
      <c r="K805" s="2" t="n">
        <v>0</v>
      </c>
      <c r="L805" s="2" t="n">
        <v>0</v>
      </c>
      <c r="M805" s="2" t="s">
        <v>131</v>
      </c>
      <c r="N805" s="3" t="n">
        <v>17</v>
      </c>
      <c r="O805" s="3" t="n">
        <v>-7.41</v>
      </c>
      <c r="P805" s="3" t="n">
        <v>155.865</v>
      </c>
      <c r="Q805" s="3" t="s">
        <v>740</v>
      </c>
      <c r="R805" s="2"/>
      <c r="S805" s="2" t="s">
        <v>144</v>
      </c>
      <c r="T805" s="4" t="n">
        <f aca="false">DATE(VALUE(MID(C805,7,4)),VALUE(MID(C805,4,2)),VALUE(MID(C805,1,2)))+TIME(VALUE(MID(C805,12,2)),VALUE(MID(C805,15,2)),0)</f>
        <v>37000.9048611111</v>
      </c>
      <c r="U805" s="2" t="str">
        <f aca="false">IF(AND(ISNUMBER(VALUE(MID(A805,7,1))),ISNUMBER(SEARCH("km",A805)),ISNUMBER(SEARCH("of",A805))),"Distance-location","Named-region")</f>
        <v>Named-region</v>
      </c>
      <c r="V805" s="2" t="str">
        <f aca="false">LOWER(M805)</f>
        <v>mwc</v>
      </c>
      <c r="W805" s="5" t="str">
        <f aca="false">IF(COUNTIFS($A$2:$A$1001,A805,$C$2:$C$1001,C805)&gt;1,"Duplicate","Unique")</f>
        <v>Unique</v>
      </c>
    </row>
    <row r="806" customFormat="false" ht="15" hidden="false" customHeight="false" outlineLevel="0" collapsed="false">
      <c r="A806" s="2" t="s">
        <v>2100</v>
      </c>
      <c r="B806" s="3" t="n">
        <v>6.8</v>
      </c>
      <c r="C806" s="2" t="s">
        <v>2101</v>
      </c>
      <c r="D806" s="2" t="n">
        <v>0</v>
      </c>
      <c r="E806" s="2" t="n">
        <v>7</v>
      </c>
      <c r="F806" s="2"/>
      <c r="G806" s="2" t="n">
        <v>0</v>
      </c>
      <c r="H806" s="2" t="n">
        <v>711</v>
      </c>
      <c r="I806" s="2" t="s">
        <v>26</v>
      </c>
      <c r="J806" s="2" t="n">
        <v>596</v>
      </c>
      <c r="K806" s="2" t="n">
        <v>0</v>
      </c>
      <c r="L806" s="2" t="n">
        <v>0</v>
      </c>
      <c r="M806" s="2" t="s">
        <v>131</v>
      </c>
      <c r="N806" s="3" t="n">
        <v>50</v>
      </c>
      <c r="O806" s="3" t="n">
        <v>34.083</v>
      </c>
      <c r="P806" s="3" t="n">
        <v>132.526</v>
      </c>
      <c r="Q806" s="3" t="s">
        <v>2102</v>
      </c>
      <c r="R806" s="2" t="s">
        <v>84</v>
      </c>
      <c r="S806" s="2" t="s">
        <v>326</v>
      </c>
      <c r="T806" s="4" t="n">
        <f aca="false">DATE(VALUE(MID(C806,7,4)),VALUE(MID(C806,4,2)),VALUE(MID(C806,1,2)))+TIME(VALUE(MID(C806,12,2)),VALUE(MID(C806,15,2)),0)</f>
        <v>36974.26875</v>
      </c>
      <c r="U806" s="2" t="str">
        <f aca="false">IF(AND(ISNUMBER(VALUE(MID(A806,7,1))),ISNUMBER(SEARCH("km",A806)),ISNUMBER(SEARCH("of",A806))),"Distance-location","Named-region")</f>
        <v>Named-region</v>
      </c>
      <c r="V806" s="2" t="str">
        <f aca="false">LOWER(M806)</f>
        <v>mwc</v>
      </c>
      <c r="W806" s="5" t="str">
        <f aca="false">IF(COUNTIFS($A$2:$A$1001,A806,$C$2:$C$1001,C806)&gt;1,"Duplicate","Unique")</f>
        <v>Unique</v>
      </c>
    </row>
    <row r="807" customFormat="false" ht="15" hidden="false" customHeight="false" outlineLevel="0" collapsed="false">
      <c r="A807" s="2" t="s">
        <v>2103</v>
      </c>
      <c r="B807" s="3" t="n">
        <v>6.5</v>
      </c>
      <c r="C807" s="2" t="s">
        <v>2104</v>
      </c>
      <c r="D807" s="2" t="n">
        <v>0</v>
      </c>
      <c r="E807" s="2" t="n">
        <v>6</v>
      </c>
      <c r="F807" s="2"/>
      <c r="G807" s="2" t="n">
        <v>0</v>
      </c>
      <c r="H807" s="2" t="n">
        <v>650</v>
      </c>
      <c r="I807" s="2" t="s">
        <v>26</v>
      </c>
      <c r="J807" s="2" t="n">
        <v>206</v>
      </c>
      <c r="K807" s="2" t="n">
        <v>0</v>
      </c>
      <c r="L807" s="2" t="n">
        <v>0</v>
      </c>
      <c r="M807" s="2" t="s">
        <v>131</v>
      </c>
      <c r="N807" s="3" t="n">
        <v>33</v>
      </c>
      <c r="O807" s="3" t="n">
        <v>-4.029</v>
      </c>
      <c r="P807" s="3" t="n">
        <v>128.02</v>
      </c>
      <c r="Q807" s="3" t="s">
        <v>1774</v>
      </c>
      <c r="R807" s="2"/>
      <c r="S807" s="2" t="s">
        <v>72</v>
      </c>
      <c r="T807" s="4" t="n">
        <f aca="false">DATE(VALUE(MID(C807,7,4)),VALUE(MID(C807,4,2)),VALUE(MID(C807,1,2)))+TIME(VALUE(MID(C807,12,2)),VALUE(MID(C807,15,2)),0)</f>
        <v>36969.2444444444</v>
      </c>
      <c r="U807" s="2" t="str">
        <f aca="false">IF(AND(ISNUMBER(VALUE(MID(A807,7,1))),ISNUMBER(SEARCH("km",A807)),ISNUMBER(SEARCH("of",A807))),"Distance-location","Named-region")</f>
        <v>Named-region</v>
      </c>
      <c r="V807" s="2" t="str">
        <f aca="false">LOWER(M807)</f>
        <v>mwc</v>
      </c>
      <c r="W807" s="5" t="str">
        <f aca="false">IF(COUNTIFS($A$2:$A$1001,A807,$C$2:$C$1001,C807)&gt;1,"Duplicate","Unique")</f>
        <v>Unique</v>
      </c>
    </row>
    <row r="808" customFormat="false" ht="15" hidden="false" customHeight="false" outlineLevel="0" collapsed="false">
      <c r="A808" s="2" t="s">
        <v>2105</v>
      </c>
      <c r="B808" s="3" t="n">
        <v>6.8</v>
      </c>
      <c r="C808" s="2" t="s">
        <v>2106</v>
      </c>
      <c r="D808" s="2" t="n">
        <v>7</v>
      </c>
      <c r="E808" s="2" t="n">
        <v>7</v>
      </c>
      <c r="F808" s="2"/>
      <c r="G808" s="2" t="n">
        <v>0</v>
      </c>
      <c r="H808" s="2" t="n">
        <v>1441</v>
      </c>
      <c r="I808" s="2" t="s">
        <v>2107</v>
      </c>
      <c r="J808" s="2" t="n">
        <v>67</v>
      </c>
      <c r="K808" s="2" t="n">
        <v>0</v>
      </c>
      <c r="L808" s="2" t="n">
        <v>31</v>
      </c>
      <c r="M808" s="2" t="s">
        <v>1736</v>
      </c>
      <c r="N808" s="3" t="n">
        <v>51.798</v>
      </c>
      <c r="O808" s="3" t="n">
        <v>47.149</v>
      </c>
      <c r="P808" s="3" t="n">
        <v>-122.727</v>
      </c>
      <c r="Q808" s="3" t="s">
        <v>2108</v>
      </c>
      <c r="R808" s="2" t="s">
        <v>168</v>
      </c>
      <c r="S808" s="2" t="s">
        <v>265</v>
      </c>
      <c r="T808" s="4" t="n">
        <f aca="false">DATE(VALUE(MID(C808,7,4)),VALUE(MID(C808,4,2)),VALUE(MID(C808,1,2)))+TIME(VALUE(MID(C808,12,2)),VALUE(MID(C808,15,2)),0)</f>
        <v>36950.7875</v>
      </c>
      <c r="U808" s="2" t="str">
        <f aca="false">IF(AND(ISNUMBER(VALUE(MID(A808,7,1))),ISNUMBER(SEARCH("km",A808)),ISNUMBER(SEARCH("of",A808))),"Distance-location","Named-region")</f>
        <v>Named-region</v>
      </c>
      <c r="V808" s="2" t="str">
        <f aca="false">LOWER(M808)</f>
        <v>md</v>
      </c>
      <c r="W808" s="5" t="str">
        <f aca="false">IF(COUNTIFS($A$2:$A$1001,A808,$C$2:$C$1001,C808)&gt;1,"Duplicate","Unique")</f>
        <v>Unique</v>
      </c>
    </row>
    <row r="809" customFormat="false" ht="15" hidden="false" customHeight="false" outlineLevel="0" collapsed="false">
      <c r="A809" s="2" t="s">
        <v>2109</v>
      </c>
      <c r="B809" s="3" t="n">
        <v>7.1</v>
      </c>
      <c r="C809" s="2" t="s">
        <v>2110</v>
      </c>
      <c r="D809" s="2" t="n">
        <v>0</v>
      </c>
      <c r="E809" s="2" t="n">
        <v>7</v>
      </c>
      <c r="F809" s="2"/>
      <c r="G809" s="2" t="n">
        <v>0</v>
      </c>
      <c r="H809" s="2" t="n">
        <v>776</v>
      </c>
      <c r="I809" s="2" t="s">
        <v>26</v>
      </c>
      <c r="J809" s="2" t="n">
        <v>426</v>
      </c>
      <c r="K809" s="2" t="n">
        <v>0</v>
      </c>
      <c r="L809" s="2" t="n">
        <v>0</v>
      </c>
      <c r="M809" s="2" t="s">
        <v>131</v>
      </c>
      <c r="N809" s="3" t="n">
        <v>35</v>
      </c>
      <c r="O809" s="3" t="n">
        <v>1.271</v>
      </c>
      <c r="P809" s="3" t="n">
        <v>126.249</v>
      </c>
      <c r="Q809" s="3" t="s">
        <v>1006</v>
      </c>
      <c r="R809" s="2"/>
      <c r="S809" s="2" t="s">
        <v>72</v>
      </c>
      <c r="T809" s="4" t="n">
        <f aca="false">DATE(VALUE(MID(C809,7,4)),VALUE(MID(C809,4,2)),VALUE(MID(C809,1,2)))+TIME(VALUE(MID(C809,12,2)),VALUE(MID(C809,15,2)),0)</f>
        <v>36946.3076388889</v>
      </c>
      <c r="U809" s="2" t="str">
        <f aca="false">IF(AND(ISNUMBER(VALUE(MID(A809,7,1))),ISNUMBER(SEARCH("km",A809)),ISNUMBER(SEARCH("of",A809))),"Distance-location","Named-region")</f>
        <v>Named-region</v>
      </c>
      <c r="V809" s="2" t="str">
        <f aca="false">LOWER(M809)</f>
        <v>mwc</v>
      </c>
      <c r="W809" s="5" t="str">
        <f aca="false">IF(COUNTIFS($A$2:$A$1001,A809,$C$2:$C$1001,C809)&gt;1,"Duplicate","Unique")</f>
        <v>Unique</v>
      </c>
    </row>
    <row r="810" customFormat="false" ht="15" hidden="false" customHeight="false" outlineLevel="0" collapsed="false">
      <c r="A810" s="2" t="s">
        <v>2111</v>
      </c>
      <c r="B810" s="3" t="n">
        <v>7.4</v>
      </c>
      <c r="C810" s="2" t="s">
        <v>2112</v>
      </c>
      <c r="D810" s="2" t="n">
        <v>0</v>
      </c>
      <c r="E810" s="2" t="n">
        <v>6</v>
      </c>
      <c r="F810" s="2"/>
      <c r="G810" s="2" t="n">
        <v>0</v>
      </c>
      <c r="H810" s="2" t="n">
        <v>842</v>
      </c>
      <c r="I810" s="2" t="s">
        <v>26</v>
      </c>
      <c r="J810" s="2" t="n">
        <v>221</v>
      </c>
      <c r="K810" s="2" t="n">
        <v>0</v>
      </c>
      <c r="L810" s="2" t="n">
        <v>0</v>
      </c>
      <c r="M810" s="2" t="s">
        <v>131</v>
      </c>
      <c r="N810" s="3" t="n">
        <v>36</v>
      </c>
      <c r="O810" s="3" t="n">
        <v>-4.68</v>
      </c>
      <c r="P810" s="3" t="n">
        <v>102.562</v>
      </c>
      <c r="Q810" s="3" t="s">
        <v>147</v>
      </c>
      <c r="R810" s="2"/>
      <c r="S810" s="2" t="s">
        <v>72</v>
      </c>
      <c r="T810" s="4" t="n">
        <f aca="false">DATE(VALUE(MID(C810,7,4)),VALUE(MID(C810,4,2)),VALUE(MID(C810,1,2)))+TIME(VALUE(MID(C810,12,2)),VALUE(MID(C810,15,2)),0)</f>
        <v>36935.8111111111</v>
      </c>
      <c r="U810" s="2" t="str">
        <f aca="false">IF(AND(ISNUMBER(VALUE(MID(A810,7,1))),ISNUMBER(SEARCH("km",A810)),ISNUMBER(SEARCH("of",A810))),"Distance-location","Named-region")</f>
        <v>Named-region</v>
      </c>
      <c r="V810" s="2" t="str">
        <f aca="false">LOWER(M810)</f>
        <v>mwc</v>
      </c>
      <c r="W810" s="5" t="str">
        <f aca="false">IF(COUNTIFS($A$2:$A$1001,A810,$C$2:$C$1001,C810)&gt;1,"Duplicate","Unique")</f>
        <v>Unique</v>
      </c>
    </row>
    <row r="811" customFormat="false" ht="15" hidden="false" customHeight="false" outlineLevel="0" collapsed="false">
      <c r="A811" s="2" t="s">
        <v>2113</v>
      </c>
      <c r="B811" s="3" t="n">
        <v>6.6</v>
      </c>
      <c r="C811" s="2" t="s">
        <v>2114</v>
      </c>
      <c r="D811" s="2" t="n">
        <v>0</v>
      </c>
      <c r="E811" s="2" t="n">
        <v>8</v>
      </c>
      <c r="F811" s="2"/>
      <c r="G811" s="2" t="n">
        <v>0</v>
      </c>
      <c r="H811" s="2" t="n">
        <v>670</v>
      </c>
      <c r="I811" s="2" t="s">
        <v>26</v>
      </c>
      <c r="J811" s="2" t="n">
        <v>273</v>
      </c>
      <c r="K811" s="2" t="n">
        <v>0</v>
      </c>
      <c r="L811" s="2" t="n">
        <v>0</v>
      </c>
      <c r="M811" s="2" t="s">
        <v>131</v>
      </c>
      <c r="N811" s="3" t="n">
        <v>10</v>
      </c>
      <c r="O811" s="3" t="n">
        <v>13.671</v>
      </c>
      <c r="P811" s="3" t="n">
        <v>-88.938</v>
      </c>
      <c r="Q811" s="3" t="s">
        <v>2115</v>
      </c>
      <c r="R811" s="2"/>
      <c r="S811" s="2" t="s">
        <v>2116</v>
      </c>
      <c r="T811" s="4" t="n">
        <f aca="false">DATE(VALUE(MID(C811,7,4)),VALUE(MID(C811,4,2)),VALUE(MID(C811,1,2)))+TIME(VALUE(MID(C811,12,2)),VALUE(MID(C811,15,2)),0)</f>
        <v>36935.5986111111</v>
      </c>
      <c r="U811" s="2" t="str">
        <f aca="false">IF(AND(ISNUMBER(VALUE(MID(A811,7,1))),ISNUMBER(SEARCH("km",A811)),ISNUMBER(SEARCH("of",A811))),"Distance-location","Named-region")</f>
        <v>Named-region</v>
      </c>
      <c r="V811" s="2" t="str">
        <f aca="false">LOWER(M811)</f>
        <v>mwc</v>
      </c>
      <c r="W811" s="5" t="str">
        <f aca="false">IF(COUNTIFS($A$2:$A$1001,A811,$C$2:$C$1001,C811)&gt;1,"Duplicate","Unique")</f>
        <v>Unique</v>
      </c>
    </row>
    <row r="812" customFormat="false" ht="15" hidden="false" customHeight="false" outlineLevel="0" collapsed="false">
      <c r="A812" s="2" t="s">
        <v>2117</v>
      </c>
      <c r="B812" s="3" t="n">
        <v>7.7</v>
      </c>
      <c r="C812" s="2" t="s">
        <v>2118</v>
      </c>
      <c r="D812" s="2" t="n">
        <v>0</v>
      </c>
      <c r="E812" s="2" t="n">
        <v>9</v>
      </c>
      <c r="F812" s="2"/>
      <c r="G812" s="2" t="n">
        <v>0</v>
      </c>
      <c r="H812" s="2" t="n">
        <v>912</v>
      </c>
      <c r="I812" s="2" t="s">
        <v>26</v>
      </c>
      <c r="J812" s="2" t="n">
        <v>472</v>
      </c>
      <c r="K812" s="2" t="n">
        <v>0</v>
      </c>
      <c r="L812" s="2" t="n">
        <v>0</v>
      </c>
      <c r="M812" s="2" t="s">
        <v>131</v>
      </c>
      <c r="N812" s="3" t="n">
        <v>16</v>
      </c>
      <c r="O812" s="3" t="n">
        <v>23.419</v>
      </c>
      <c r="P812" s="3" t="n">
        <v>70.232</v>
      </c>
      <c r="Q812" s="3" t="s">
        <v>2119</v>
      </c>
      <c r="R812" s="2" t="s">
        <v>84</v>
      </c>
      <c r="S812" s="2" t="s">
        <v>864</v>
      </c>
      <c r="T812" s="4" t="n">
        <f aca="false">DATE(VALUE(MID(C812,7,4)),VALUE(MID(C812,4,2)),VALUE(MID(C812,1,2)))+TIME(VALUE(MID(C812,12,2)),VALUE(MID(C812,15,2)),0)</f>
        <v>36917.1361111111</v>
      </c>
      <c r="U812" s="2" t="str">
        <f aca="false">IF(AND(ISNUMBER(VALUE(MID(A812,7,1))),ISNUMBER(SEARCH("km",A812)),ISNUMBER(SEARCH("of",A812))),"Distance-location","Named-region")</f>
        <v>Named-region</v>
      </c>
      <c r="V812" s="2" t="str">
        <f aca="false">LOWER(M812)</f>
        <v>mwc</v>
      </c>
      <c r="W812" s="5" t="str">
        <f aca="false">IF(COUNTIFS($A$2:$A$1001,A812,$C$2:$C$1001,C812)&gt;1,"Duplicate","Unique")</f>
        <v>Unique</v>
      </c>
    </row>
    <row r="813" customFormat="false" ht="15" hidden="false" customHeight="false" outlineLevel="0" collapsed="false">
      <c r="A813" s="2" t="s">
        <v>2120</v>
      </c>
      <c r="B813" s="3" t="n">
        <v>6.9</v>
      </c>
      <c r="C813" s="2" t="s">
        <v>2121</v>
      </c>
      <c r="D813" s="2" t="n">
        <v>0</v>
      </c>
      <c r="E813" s="2" t="n">
        <v>6</v>
      </c>
      <c r="F813" s="2"/>
      <c r="G813" s="2" t="n">
        <v>0</v>
      </c>
      <c r="H813" s="2" t="n">
        <v>732</v>
      </c>
      <c r="I813" s="2" t="s">
        <v>26</v>
      </c>
      <c r="J813" s="2" t="n">
        <v>117</v>
      </c>
      <c r="K813" s="2" t="n">
        <v>0</v>
      </c>
      <c r="L813" s="2" t="n">
        <v>0</v>
      </c>
      <c r="M813" s="2" t="s">
        <v>158</v>
      </c>
      <c r="N813" s="3" t="n">
        <v>28</v>
      </c>
      <c r="O813" s="3" t="n">
        <v>-4.022</v>
      </c>
      <c r="P813" s="3" t="n">
        <v>101.776</v>
      </c>
      <c r="Q813" s="3" t="s">
        <v>147</v>
      </c>
      <c r="R813" s="2"/>
      <c r="S813" s="2" t="s">
        <v>72</v>
      </c>
      <c r="T813" s="4" t="n">
        <f aca="false">DATE(VALUE(MID(C813,7,4)),VALUE(MID(C813,4,2)),VALUE(MID(C813,1,2)))+TIME(VALUE(MID(C813,12,2)),VALUE(MID(C813,15,2)),0)</f>
        <v>36907.5590277778</v>
      </c>
      <c r="U813" s="2" t="str">
        <f aca="false">IF(AND(ISNUMBER(VALUE(MID(A813,7,1))),ISNUMBER(SEARCH("km",A813)),ISNUMBER(SEARCH("of",A813))),"Distance-location","Named-region")</f>
        <v>Named-region</v>
      </c>
      <c r="V813" s="2" t="str">
        <f aca="false">LOWER(M813)</f>
        <v>mwb</v>
      </c>
      <c r="W813" s="5" t="str">
        <f aca="false">IF(COUNTIFS($A$2:$A$1001,A813,$C$2:$C$1001,C813)&gt;1,"Duplicate","Unique")</f>
        <v>Unique</v>
      </c>
    </row>
    <row r="814" customFormat="false" ht="15" hidden="false" customHeight="false" outlineLevel="0" collapsed="false">
      <c r="A814" s="2" t="s">
        <v>2122</v>
      </c>
      <c r="B814" s="3" t="n">
        <v>7.7</v>
      </c>
      <c r="C814" s="2" t="s">
        <v>2123</v>
      </c>
      <c r="D814" s="2" t="n">
        <v>0</v>
      </c>
      <c r="E814" s="2" t="n">
        <v>8</v>
      </c>
      <c r="F814" s="2"/>
      <c r="G814" s="2" t="n">
        <v>0</v>
      </c>
      <c r="H814" s="2" t="n">
        <v>912</v>
      </c>
      <c r="I814" s="2" t="s">
        <v>26</v>
      </c>
      <c r="J814" s="2" t="n">
        <v>427</v>
      </c>
      <c r="K814" s="2" t="n">
        <v>0</v>
      </c>
      <c r="L814" s="2" t="n">
        <v>0</v>
      </c>
      <c r="M814" s="2" t="s">
        <v>131</v>
      </c>
      <c r="N814" s="3" t="n">
        <v>60</v>
      </c>
      <c r="O814" s="3" t="n">
        <v>13.049</v>
      </c>
      <c r="P814" s="3" t="n">
        <v>-88.66</v>
      </c>
      <c r="Q814" s="3" t="s">
        <v>772</v>
      </c>
      <c r="R814" s="2"/>
      <c r="S814" s="2"/>
      <c r="T814" s="4" t="n">
        <f aca="false">DATE(VALUE(MID(C814,7,4)),VALUE(MID(C814,4,2)),VALUE(MID(C814,1,2)))+TIME(VALUE(MID(C814,12,2)),VALUE(MID(C814,15,2)),0)</f>
        <v>36904.73125</v>
      </c>
      <c r="U814" s="2" t="str">
        <f aca="false">IF(AND(ISNUMBER(VALUE(MID(A814,7,1))),ISNUMBER(SEARCH("km",A814)),ISNUMBER(SEARCH("of",A814))),"Distance-location","Named-region")</f>
        <v>Named-region</v>
      </c>
      <c r="V814" s="2" t="str">
        <f aca="false">LOWER(M814)</f>
        <v>mwc</v>
      </c>
      <c r="W814" s="5" t="str">
        <f aca="false">IF(COUNTIFS($A$2:$A$1001,A814,$C$2:$C$1001,C814)&gt;1,"Duplicate","Unique")</f>
        <v>Unique</v>
      </c>
    </row>
    <row r="815" customFormat="false" ht="15" hidden="false" customHeight="false" outlineLevel="0" collapsed="false">
      <c r="A815" s="2" t="s">
        <v>2124</v>
      </c>
      <c r="B815" s="3" t="n">
        <v>6.9</v>
      </c>
      <c r="C815" s="2" t="s">
        <v>2125</v>
      </c>
      <c r="D815" s="2" t="n">
        <v>5</v>
      </c>
      <c r="E815" s="2" t="n">
        <v>7</v>
      </c>
      <c r="F815" s="2"/>
      <c r="G815" s="2" t="n">
        <v>0</v>
      </c>
      <c r="H815" s="2" t="n">
        <v>745</v>
      </c>
      <c r="I815" s="2" t="s">
        <v>263</v>
      </c>
      <c r="J815" s="2" t="n">
        <v>0</v>
      </c>
      <c r="K815" s="2" t="n">
        <v>0</v>
      </c>
      <c r="L815" s="2" t="n">
        <v>0</v>
      </c>
      <c r="M815" s="2" t="s">
        <v>489</v>
      </c>
      <c r="N815" s="3" t="n">
        <v>36.4</v>
      </c>
      <c r="O815" s="3" t="n">
        <v>56.7744</v>
      </c>
      <c r="P815" s="3" t="n">
        <v>-153.281</v>
      </c>
      <c r="Q815" s="3" t="s">
        <v>2126</v>
      </c>
      <c r="R815" s="2" t="s">
        <v>168</v>
      </c>
      <c r="S815" s="2"/>
      <c r="T815" s="4" t="n">
        <f aca="false">DATE(VALUE(MID(C815,7,4)),VALUE(MID(C815,4,2)),VALUE(MID(C815,1,2)))+TIME(VALUE(MID(C815,12,2)),VALUE(MID(C815,15,2)),0)</f>
        <v>36901.6680555556</v>
      </c>
      <c r="U815" s="2" t="str">
        <f aca="false">IF(AND(ISNUMBER(VALUE(MID(A815,7,1))),ISNUMBER(SEARCH("km",A815)),ISNUMBER(SEARCH("of",A815))),"Distance-location","Named-region")</f>
        <v>Named-region</v>
      </c>
      <c r="V815" s="2" t="str">
        <f aca="false">LOWER(M815)</f>
        <v>mw</v>
      </c>
      <c r="W815" s="5" t="str">
        <f aca="false">IF(COUNTIFS($A$2:$A$1001,A815,$C$2:$C$1001,C815)&gt;1,"Duplicate","Unique")</f>
        <v>Unique</v>
      </c>
    </row>
    <row r="816" customFormat="false" ht="15" hidden="false" customHeight="false" outlineLevel="0" collapsed="false">
      <c r="A816" s="2" t="s">
        <v>2127</v>
      </c>
      <c r="B816" s="3" t="n">
        <v>7.1</v>
      </c>
      <c r="C816" s="2" t="s">
        <v>2128</v>
      </c>
      <c r="D816" s="2" t="n">
        <v>0</v>
      </c>
      <c r="E816" s="2" t="n">
        <v>7</v>
      </c>
      <c r="F816" s="2"/>
      <c r="G816" s="2" t="n">
        <v>0</v>
      </c>
      <c r="H816" s="2" t="n">
        <v>776</v>
      </c>
      <c r="I816" s="2" t="s">
        <v>26</v>
      </c>
      <c r="J816" s="2" t="n">
        <v>372</v>
      </c>
      <c r="K816" s="2" t="n">
        <v>0</v>
      </c>
      <c r="L816" s="2" t="n">
        <v>0</v>
      </c>
      <c r="M816" s="2" t="s">
        <v>158</v>
      </c>
      <c r="N816" s="3" t="n">
        <v>103</v>
      </c>
      <c r="O816" s="3" t="n">
        <v>-14.928</v>
      </c>
      <c r="P816" s="3" t="n">
        <v>167.17</v>
      </c>
      <c r="Q816" s="3" t="s">
        <v>108</v>
      </c>
      <c r="R816" s="2"/>
      <c r="S816" s="2" t="s">
        <v>29</v>
      </c>
      <c r="T816" s="4" t="n">
        <f aca="false">DATE(VALUE(MID(C816,7,4)),VALUE(MID(C816,4,2)),VALUE(MID(C816,1,2)))+TIME(VALUE(MID(C816,12,2)),VALUE(MID(C816,15,2)),0)</f>
        <v>36900.7006944444</v>
      </c>
      <c r="U816" s="2" t="str">
        <f aca="false">IF(AND(ISNUMBER(VALUE(MID(A816,7,1))),ISNUMBER(SEARCH("km",A816)),ISNUMBER(SEARCH("of",A816))),"Distance-location","Named-region")</f>
        <v>Named-region</v>
      </c>
      <c r="V816" s="2" t="str">
        <f aca="false">LOWER(M816)</f>
        <v>mwb</v>
      </c>
      <c r="W816" s="5" t="str">
        <f aca="false">IF(COUNTIFS($A$2:$A$1001,A816,$C$2:$C$1001,C816)&gt;1,"Duplicate","Unique")</f>
        <v>Unique</v>
      </c>
    </row>
    <row r="817" customFormat="false" ht="15" hidden="false" customHeight="false" outlineLevel="0" collapsed="false">
      <c r="A817" s="2" t="s">
        <v>2129</v>
      </c>
      <c r="B817" s="3" t="n">
        <v>6.8</v>
      </c>
      <c r="C817" s="2" t="s">
        <v>2130</v>
      </c>
      <c r="D817" s="2" t="n">
        <v>0</v>
      </c>
      <c r="E817" s="2" t="n">
        <v>5</v>
      </c>
      <c r="F817" s="2"/>
      <c r="G817" s="2" t="n">
        <v>0</v>
      </c>
      <c r="H817" s="2" t="n">
        <v>711</v>
      </c>
      <c r="I817" s="2" t="s">
        <v>26</v>
      </c>
      <c r="J817" s="2" t="n">
        <v>64</v>
      </c>
      <c r="K817" s="2" t="n">
        <v>0</v>
      </c>
      <c r="L817" s="2" t="n">
        <v>0</v>
      </c>
      <c r="M817" s="2" t="s">
        <v>131</v>
      </c>
      <c r="N817" s="3" t="n">
        <v>33</v>
      </c>
      <c r="O817" s="3" t="n">
        <v>6.631</v>
      </c>
      <c r="P817" s="3" t="n">
        <v>126.899</v>
      </c>
      <c r="Q817" s="3" t="s">
        <v>2047</v>
      </c>
      <c r="R817" s="2"/>
      <c r="S817" s="2"/>
      <c r="T817" s="4" t="n">
        <f aca="false">DATE(VALUE(MID(C817,7,4)),VALUE(MID(C817,4,2)),VALUE(MID(C817,1,2)))+TIME(VALUE(MID(C817,12,2)),VALUE(MID(C817,15,2)),0)</f>
        <v>36892.3708333333</v>
      </c>
      <c r="U817" s="2" t="str">
        <f aca="false">IF(AND(ISNUMBER(VALUE(MID(A817,7,1))),ISNUMBER(SEARCH("km",A817)),ISNUMBER(SEARCH("of",A817))),"Distance-location","Named-region")</f>
        <v>Named-region</v>
      </c>
      <c r="V817" s="2" t="str">
        <f aca="false">LOWER(M817)</f>
        <v>mwc</v>
      </c>
      <c r="W817" s="5" t="str">
        <f aca="false">IF(COUNTIFS($A$2:$A$1001,A817,$C$2:$C$1001,C817)&gt;1,"Duplicate","Unique")</f>
        <v>Unique</v>
      </c>
    </row>
    <row r="818" customFormat="false" ht="15" hidden="false" customHeight="false" outlineLevel="0" collapsed="false">
      <c r="A818" s="2" t="s">
        <v>2131</v>
      </c>
      <c r="B818" s="3" t="n">
        <v>7.5</v>
      </c>
      <c r="C818" s="2" t="s">
        <v>2132</v>
      </c>
      <c r="D818" s="2" t="n">
        <v>0</v>
      </c>
      <c r="E818" s="2" t="n">
        <v>7</v>
      </c>
      <c r="F818" s="2"/>
      <c r="G818" s="2" t="n">
        <v>0</v>
      </c>
      <c r="H818" s="2" t="n">
        <v>865</v>
      </c>
      <c r="I818" s="2" t="s">
        <v>26</v>
      </c>
      <c r="J818" s="2" t="n">
        <v>324</v>
      </c>
      <c r="K818" s="2" t="n">
        <v>0</v>
      </c>
      <c r="L818" s="2" t="n">
        <v>0</v>
      </c>
      <c r="M818" s="2" t="s">
        <v>131</v>
      </c>
      <c r="N818" s="3" t="n">
        <v>33</v>
      </c>
      <c r="O818" s="3" t="n">
        <v>6.898</v>
      </c>
      <c r="P818" s="3" t="n">
        <v>126.579</v>
      </c>
      <c r="Q818" s="3" t="s">
        <v>2133</v>
      </c>
      <c r="R818" s="2"/>
      <c r="S818" s="2" t="s">
        <v>195</v>
      </c>
      <c r="T818" s="4" t="n">
        <f aca="false">DATE(VALUE(MID(C818,7,4)),VALUE(MID(C818,4,2)),VALUE(MID(C818,1,2)))+TIME(VALUE(MID(C818,12,2)),VALUE(MID(C818,15,2)),0)</f>
        <v>36892.2895833333</v>
      </c>
      <c r="U818" s="2" t="str">
        <f aca="false">IF(AND(ISNUMBER(VALUE(MID(A818,7,1))),ISNUMBER(SEARCH("km",A818)),ISNUMBER(SEARCH("of",A818))),"Distance-location","Named-region")</f>
        <v>Named-region</v>
      </c>
      <c r="V818" s="2" t="str">
        <f aca="false">LOWER(M818)</f>
        <v>mwc</v>
      </c>
      <c r="W818" s="5" t="str">
        <f aca="false">IF(COUNTIFS($A$2:$A$1001,A818,$C$2:$C$1001,C818)&gt;1,"Duplicate","Unique")</f>
        <v>Unique</v>
      </c>
    </row>
    <row r="819" customFormat="false" ht="15" hidden="false" customHeight="false" outlineLevel="0" collapsed="false">
      <c r="A819" s="2" t="s">
        <v>2134</v>
      </c>
      <c r="B819" s="3" t="n">
        <v>6.5</v>
      </c>
      <c r="C819" s="2" t="s">
        <v>2135</v>
      </c>
      <c r="D819" s="2" t="n">
        <v>0</v>
      </c>
      <c r="E819" s="2" t="n">
        <v>7</v>
      </c>
      <c r="F819" s="2"/>
      <c r="G819" s="2" t="n">
        <v>0</v>
      </c>
      <c r="H819" s="2" t="n">
        <v>650</v>
      </c>
      <c r="I819" s="2" t="s">
        <v>26</v>
      </c>
      <c r="J819" s="2" t="n">
        <v>401</v>
      </c>
      <c r="K819" s="2" t="n">
        <v>0</v>
      </c>
      <c r="L819" s="2" t="n">
        <v>0</v>
      </c>
      <c r="M819" s="2" t="s">
        <v>131</v>
      </c>
      <c r="N819" s="3" t="n">
        <v>31</v>
      </c>
      <c r="O819" s="3" t="n">
        <v>-4.218</v>
      </c>
      <c r="P819" s="3" t="n">
        <v>152.725</v>
      </c>
      <c r="Q819" s="3" t="s">
        <v>629</v>
      </c>
      <c r="R819" s="2"/>
      <c r="S819" s="2" t="s">
        <v>89</v>
      </c>
      <c r="T819" s="4" t="n">
        <f aca="false">DATE(VALUE(MID(C819,7,4)),VALUE(MID(C819,4,2)),VALUE(MID(C819,1,2)))+TIME(VALUE(MID(C819,12,2)),VALUE(MID(C819,15,2)),0)</f>
        <v>36866.95625</v>
      </c>
      <c r="U819" s="2" t="str">
        <f aca="false">IF(AND(ISNUMBER(VALUE(MID(A819,7,1))),ISNUMBER(SEARCH("km",A819)),ISNUMBER(SEARCH("of",A819))),"Distance-location","Named-region")</f>
        <v>Named-region</v>
      </c>
      <c r="V819" s="2" t="str">
        <f aca="false">LOWER(M819)</f>
        <v>mwc</v>
      </c>
      <c r="W819" s="5" t="str">
        <f aca="false">IF(COUNTIFS($A$2:$A$1001,A819,$C$2:$C$1001,C819)&gt;1,"Duplicate","Unique")</f>
        <v>Unique</v>
      </c>
    </row>
    <row r="820" customFormat="false" ht="15" hidden="false" customHeight="false" outlineLevel="0" collapsed="false">
      <c r="A820" s="2" t="s">
        <v>2136</v>
      </c>
      <c r="B820" s="3" t="n">
        <v>7</v>
      </c>
      <c r="C820" s="2" t="s">
        <v>2137</v>
      </c>
      <c r="D820" s="2" t="n">
        <v>0</v>
      </c>
      <c r="E820" s="2" t="n">
        <v>7</v>
      </c>
      <c r="F820" s="2"/>
      <c r="G820" s="2" t="n">
        <v>0</v>
      </c>
      <c r="H820" s="2" t="n">
        <v>754</v>
      </c>
      <c r="I820" s="2" t="s">
        <v>26</v>
      </c>
      <c r="J820" s="2" t="n">
        <v>495</v>
      </c>
      <c r="K820" s="2" t="n">
        <v>0</v>
      </c>
      <c r="L820" s="2" t="n">
        <v>0</v>
      </c>
      <c r="M820" s="2" t="s">
        <v>131</v>
      </c>
      <c r="N820" s="3" t="n">
        <v>30</v>
      </c>
      <c r="O820" s="3" t="n">
        <v>39.566</v>
      </c>
      <c r="P820" s="3" t="n">
        <v>54.799</v>
      </c>
      <c r="Q820" s="3" t="s">
        <v>2138</v>
      </c>
      <c r="R820" s="2" t="s">
        <v>84</v>
      </c>
      <c r="S820" s="2" t="s">
        <v>2139</v>
      </c>
      <c r="T820" s="4" t="n">
        <f aca="false">DATE(VALUE(MID(C820,7,4)),VALUE(MID(C820,4,2)),VALUE(MID(C820,1,2)))+TIME(VALUE(MID(C820,12,2)),VALUE(MID(C820,15,2)),0)</f>
        <v>36866.7159722222</v>
      </c>
      <c r="U820" s="2" t="str">
        <f aca="false">IF(AND(ISNUMBER(VALUE(MID(A820,7,1))),ISNUMBER(SEARCH("km",A820)),ISNUMBER(SEARCH("of",A820))),"Distance-location","Named-region")</f>
        <v>Named-region</v>
      </c>
      <c r="V820" s="2" t="str">
        <f aca="false">LOWER(M820)</f>
        <v>mwc</v>
      </c>
      <c r="W820" s="5" t="str">
        <f aca="false">IF(COUNTIFS($A$2:$A$1001,A820,$C$2:$C$1001,C820)&gt;1,"Duplicate","Unique")</f>
        <v>Unique</v>
      </c>
    </row>
    <row r="821" customFormat="false" ht="15" hidden="false" customHeight="false" outlineLevel="0" collapsed="false">
      <c r="A821" s="2" t="s">
        <v>2140</v>
      </c>
      <c r="B821" s="3" t="n">
        <v>6.5</v>
      </c>
      <c r="C821" s="2" t="s">
        <v>2141</v>
      </c>
      <c r="D821" s="2" t="n">
        <v>0</v>
      </c>
      <c r="E821" s="2" t="n">
        <v>6</v>
      </c>
      <c r="F821" s="2"/>
      <c r="G821" s="2" t="n">
        <v>0</v>
      </c>
      <c r="H821" s="2" t="n">
        <v>650</v>
      </c>
      <c r="I821" s="2" t="s">
        <v>26</v>
      </c>
      <c r="J821" s="2" t="n">
        <v>268</v>
      </c>
      <c r="K821" s="2" t="n">
        <v>0</v>
      </c>
      <c r="L821" s="2" t="n">
        <v>0</v>
      </c>
      <c r="M821" s="2" t="s">
        <v>131</v>
      </c>
      <c r="N821" s="3" t="n">
        <v>33</v>
      </c>
      <c r="O821" s="3" t="n">
        <v>40.167</v>
      </c>
      <c r="P821" s="3" t="n">
        <v>49.954</v>
      </c>
      <c r="Q821" s="3" t="s">
        <v>2142</v>
      </c>
      <c r="R821" s="2" t="s">
        <v>84</v>
      </c>
      <c r="S821" s="2" t="s">
        <v>2143</v>
      </c>
      <c r="T821" s="4" t="n">
        <f aca="false">DATE(VALUE(MID(C821,7,4)),VALUE(MID(C821,4,2)),VALUE(MID(C821,1,2)))+TIME(VALUE(MID(C821,12,2)),VALUE(MID(C821,15,2)),0)</f>
        <v>36855.7569444444</v>
      </c>
      <c r="U821" s="2" t="str">
        <f aca="false">IF(AND(ISNUMBER(VALUE(MID(A821,7,1))),ISNUMBER(SEARCH("km",A821)),ISNUMBER(SEARCH("of",A821))),"Distance-location","Named-region")</f>
        <v>Named-region</v>
      </c>
      <c r="V821" s="2" t="str">
        <f aca="false">LOWER(M821)</f>
        <v>mwc</v>
      </c>
      <c r="W821" s="5" t="str">
        <f aca="false">IF(COUNTIFS($A$2:$A$1001,A821,$C$2:$C$1001,C821)&gt;1,"Duplicate","Unique")</f>
        <v>Unique</v>
      </c>
    </row>
    <row r="822" customFormat="false" ht="15" hidden="false" customHeight="false" outlineLevel="0" collapsed="false">
      <c r="A822" s="2" t="s">
        <v>2144</v>
      </c>
      <c r="B822" s="3" t="n">
        <v>6.8</v>
      </c>
      <c r="C822" s="2" t="s">
        <v>2145</v>
      </c>
      <c r="D822" s="2" t="n">
        <v>0</v>
      </c>
      <c r="E822" s="2" t="n">
        <v>6</v>
      </c>
      <c r="F822" s="2"/>
      <c r="G822" s="2" t="n">
        <v>0</v>
      </c>
      <c r="H822" s="2" t="n">
        <v>711</v>
      </c>
      <c r="I822" s="2" t="s">
        <v>26</v>
      </c>
      <c r="J822" s="2" t="n">
        <v>446</v>
      </c>
      <c r="K822" s="2" t="n">
        <v>0</v>
      </c>
      <c r="L822" s="2" t="n">
        <v>0</v>
      </c>
      <c r="M822" s="2" t="s">
        <v>131</v>
      </c>
      <c r="N822" s="3" t="n">
        <v>50.4</v>
      </c>
      <c r="O822" s="3" t="n">
        <v>40.245</v>
      </c>
      <c r="P822" s="3" t="n">
        <v>49.946</v>
      </c>
      <c r="Q822" s="3" t="s">
        <v>2146</v>
      </c>
      <c r="R822" s="2" t="s">
        <v>84</v>
      </c>
      <c r="S822" s="2" t="s">
        <v>2143</v>
      </c>
      <c r="T822" s="4" t="n">
        <f aca="false">DATE(VALUE(MID(C822,7,4)),VALUE(MID(C822,4,2)),VALUE(MID(C822,1,2)))+TIME(VALUE(MID(C822,12,2)),VALUE(MID(C822,15,2)),0)</f>
        <v>36855.75625</v>
      </c>
      <c r="U822" s="2" t="str">
        <f aca="false">IF(AND(ISNUMBER(VALUE(MID(A822,7,1))),ISNUMBER(SEARCH("km",A822)),ISNUMBER(SEARCH("of",A822))),"Distance-location","Named-region")</f>
        <v>Named-region</v>
      </c>
      <c r="V822" s="2" t="str">
        <f aca="false">LOWER(M822)</f>
        <v>mwc</v>
      </c>
      <c r="W822" s="5" t="str">
        <f aca="false">IF(COUNTIFS($A$2:$A$1001,A822,$C$2:$C$1001,C822)&gt;1,"Duplicate","Unique")</f>
        <v>Unique</v>
      </c>
    </row>
    <row r="823" customFormat="false" ht="15" hidden="false" customHeight="false" outlineLevel="0" collapsed="false">
      <c r="A823" s="2" t="s">
        <v>2147</v>
      </c>
      <c r="B823" s="3" t="n">
        <v>6.8</v>
      </c>
      <c r="C823" s="2" t="s">
        <v>2148</v>
      </c>
      <c r="D823" s="2" t="n">
        <v>0</v>
      </c>
      <c r="E823" s="2" t="n">
        <v>6</v>
      </c>
      <c r="F823" s="2"/>
      <c r="G823" s="2" t="n">
        <v>0</v>
      </c>
      <c r="H823" s="2" t="n">
        <v>711</v>
      </c>
      <c r="I823" s="2" t="s">
        <v>26</v>
      </c>
      <c r="J823" s="2" t="n">
        <v>402</v>
      </c>
      <c r="K823" s="2" t="n">
        <v>0</v>
      </c>
      <c r="L823" s="2" t="n">
        <v>0</v>
      </c>
      <c r="M823" s="2" t="s">
        <v>158</v>
      </c>
      <c r="N823" s="3" t="n">
        <v>33</v>
      </c>
      <c r="O823" s="3" t="n">
        <v>-5.228</v>
      </c>
      <c r="P823" s="3" t="n">
        <v>151.771</v>
      </c>
      <c r="Q823" s="3" t="s">
        <v>629</v>
      </c>
      <c r="R823" s="2"/>
      <c r="S823" s="2" t="s">
        <v>89</v>
      </c>
      <c r="T823" s="4" t="n">
        <f aca="false">DATE(VALUE(MID(C823,7,4)),VALUE(MID(C823,4,2)),VALUE(MID(C823,1,2)))+TIME(VALUE(MID(C823,12,2)),VALUE(MID(C823,15,2)),0)</f>
        <v>36848.2875</v>
      </c>
      <c r="U823" s="2" t="str">
        <f aca="false">IF(AND(ISNUMBER(VALUE(MID(A823,7,1))),ISNUMBER(SEARCH("km",A823)),ISNUMBER(SEARCH("of",A823))),"Distance-location","Named-region")</f>
        <v>Named-region</v>
      </c>
      <c r="V823" s="2" t="str">
        <f aca="false">LOWER(M823)</f>
        <v>mwb</v>
      </c>
      <c r="W823" s="5" t="str">
        <f aca="false">IF(COUNTIFS($A$2:$A$1001,A823,$C$2:$C$1001,C823)&gt;1,"Duplicate","Unique")</f>
        <v>Unique</v>
      </c>
    </row>
    <row r="824" customFormat="false" ht="15" hidden="false" customHeight="false" outlineLevel="0" collapsed="false">
      <c r="A824" s="2" t="s">
        <v>2149</v>
      </c>
      <c r="B824" s="3" t="n">
        <v>6.6</v>
      </c>
      <c r="C824" s="2" t="s">
        <v>2150</v>
      </c>
      <c r="D824" s="2" t="n">
        <v>0</v>
      </c>
      <c r="E824" s="2" t="n">
        <v>6</v>
      </c>
      <c r="F824" s="2"/>
      <c r="G824" s="2" t="n">
        <v>0</v>
      </c>
      <c r="H824" s="2" t="n">
        <v>670</v>
      </c>
      <c r="I824" s="2" t="s">
        <v>26</v>
      </c>
      <c r="J824" s="2" t="n">
        <v>267</v>
      </c>
      <c r="K824" s="2" t="n">
        <v>0</v>
      </c>
      <c r="L824" s="2" t="n">
        <v>0</v>
      </c>
      <c r="M824" s="2" t="s">
        <v>131</v>
      </c>
      <c r="N824" s="3" t="n">
        <v>33</v>
      </c>
      <c r="O824" s="3" t="n">
        <v>-5.097</v>
      </c>
      <c r="P824" s="3" t="n">
        <v>153.181</v>
      </c>
      <c r="Q824" s="3" t="s">
        <v>629</v>
      </c>
      <c r="R824" s="2"/>
      <c r="S824" s="2" t="s">
        <v>89</v>
      </c>
      <c r="T824" s="4" t="n">
        <f aca="false">DATE(VALUE(MID(C824,7,4)),VALUE(MID(C824,4,2)),VALUE(MID(C824,1,2)))+TIME(VALUE(MID(C824,12,2)),VALUE(MID(C824,15,2)),0)</f>
        <v>36848.0868055556</v>
      </c>
      <c r="U824" s="2" t="str">
        <f aca="false">IF(AND(ISNUMBER(VALUE(MID(A824,7,1))),ISNUMBER(SEARCH("km",A824)),ISNUMBER(SEARCH("of",A824))),"Distance-location","Named-region")</f>
        <v>Named-region</v>
      </c>
      <c r="V824" s="2" t="str">
        <f aca="false">LOWER(M824)</f>
        <v>mwc</v>
      </c>
      <c r="W824" s="5" t="str">
        <f aca="false">IF(COUNTIFS($A$2:$A$1001,A824,$C$2:$C$1001,C824)&gt;1,"Duplicate","Unique")</f>
        <v>Unique</v>
      </c>
    </row>
    <row r="825" customFormat="false" ht="15" hidden="false" customHeight="false" outlineLevel="0" collapsed="false">
      <c r="A825" s="2" t="s">
        <v>2151</v>
      </c>
      <c r="B825" s="3" t="n">
        <v>7.8</v>
      </c>
      <c r="C825" s="2" t="s">
        <v>2152</v>
      </c>
      <c r="D825" s="2" t="n">
        <v>0</v>
      </c>
      <c r="E825" s="2" t="n">
        <v>7</v>
      </c>
      <c r="F825" s="2"/>
      <c r="G825" s="2" t="n">
        <v>0</v>
      </c>
      <c r="H825" s="2" t="n">
        <v>936</v>
      </c>
      <c r="I825" s="2" t="s">
        <v>26</v>
      </c>
      <c r="J825" s="2" t="n">
        <v>346</v>
      </c>
      <c r="K825" s="2" t="n">
        <v>0</v>
      </c>
      <c r="L825" s="2" t="n">
        <v>0</v>
      </c>
      <c r="M825" s="2" t="s">
        <v>131</v>
      </c>
      <c r="N825" s="3" t="n">
        <v>33</v>
      </c>
      <c r="O825" s="3" t="n">
        <v>-5.496</v>
      </c>
      <c r="P825" s="3" t="n">
        <v>151.781</v>
      </c>
      <c r="Q825" s="3" t="s">
        <v>629</v>
      </c>
      <c r="R825" s="2"/>
      <c r="S825" s="2" t="s">
        <v>89</v>
      </c>
      <c r="T825" s="4" t="n">
        <f aca="false">DATE(VALUE(MID(C825,7,4)),VALUE(MID(C825,4,2)),VALUE(MID(C825,1,2)))+TIME(VALUE(MID(C825,12,2)),VALUE(MID(C825,15,2)),0)</f>
        <v>36847.8756944445</v>
      </c>
      <c r="U825" s="2" t="str">
        <f aca="false">IF(AND(ISNUMBER(VALUE(MID(A825,7,1))),ISNUMBER(SEARCH("km",A825)),ISNUMBER(SEARCH("of",A825))),"Distance-location","Named-region")</f>
        <v>Named-region</v>
      </c>
      <c r="V825" s="2" t="str">
        <f aca="false">LOWER(M825)</f>
        <v>mwc</v>
      </c>
      <c r="W825" s="5" t="str">
        <f aca="false">IF(COUNTIFS($A$2:$A$1001,A825,$C$2:$C$1001,C825)&gt;1,"Duplicate","Unique")</f>
        <v>Unique</v>
      </c>
    </row>
    <row r="826" customFormat="false" ht="15" hidden="false" customHeight="false" outlineLevel="0" collapsed="false">
      <c r="A826" s="2" t="s">
        <v>2153</v>
      </c>
      <c r="B826" s="3" t="n">
        <v>6.5</v>
      </c>
      <c r="C826" s="2" t="s">
        <v>2154</v>
      </c>
      <c r="D826" s="2" t="n">
        <v>0</v>
      </c>
      <c r="E826" s="2" t="n">
        <v>6</v>
      </c>
      <c r="F826" s="2"/>
      <c r="G826" s="2" t="n">
        <v>0</v>
      </c>
      <c r="H826" s="2" t="n">
        <v>650</v>
      </c>
      <c r="I826" s="2" t="s">
        <v>26</v>
      </c>
      <c r="J826" s="2" t="n">
        <v>71</v>
      </c>
      <c r="K826" s="2" t="n">
        <v>0</v>
      </c>
      <c r="L826" s="2" t="n">
        <v>0</v>
      </c>
      <c r="M826" s="2" t="s">
        <v>1378</v>
      </c>
      <c r="N826" s="3" t="n">
        <v>33</v>
      </c>
      <c r="O826" s="3" t="n">
        <v>-4.827</v>
      </c>
      <c r="P826" s="3" t="n">
        <v>153.226</v>
      </c>
      <c r="Q826" s="3" t="s">
        <v>629</v>
      </c>
      <c r="R826" s="2"/>
      <c r="S826" s="2" t="s">
        <v>89</v>
      </c>
      <c r="T826" s="4" t="n">
        <f aca="false">DATE(VALUE(MID(C826,7,4)),VALUE(MID(C826,4,2)),VALUE(MID(C826,1,2)))+TIME(VALUE(MID(C826,12,2)),VALUE(MID(C826,15,2)),0)</f>
        <v>36846.3229166667</v>
      </c>
      <c r="U826" s="2" t="str">
        <f aca="false">IF(AND(ISNUMBER(VALUE(MID(A826,7,1))),ISNUMBER(SEARCH("km",A826)),ISNUMBER(SEARCH("of",A826))),"Distance-location","Named-region")</f>
        <v>Named-region</v>
      </c>
      <c r="V826" s="2" t="str">
        <f aca="false">LOWER(M826)</f>
        <v>mb</v>
      </c>
      <c r="W826" s="5" t="str">
        <f aca="false">IF(COUNTIFS($A$2:$A$1001,A826,$C$2:$C$1001,C826)&gt;1,"Duplicate","Unique")</f>
        <v>Unique</v>
      </c>
    </row>
    <row r="827" customFormat="false" ht="15" hidden="false" customHeight="false" outlineLevel="0" collapsed="false">
      <c r="A827" s="2" t="s">
        <v>2155</v>
      </c>
      <c r="B827" s="3" t="n">
        <v>7.8</v>
      </c>
      <c r="C827" s="2" t="s">
        <v>2156</v>
      </c>
      <c r="D827" s="2" t="n">
        <v>0</v>
      </c>
      <c r="E827" s="2" t="n">
        <v>7</v>
      </c>
      <c r="F827" s="2"/>
      <c r="G827" s="2" t="n">
        <v>0</v>
      </c>
      <c r="H827" s="2" t="n">
        <v>936</v>
      </c>
      <c r="I827" s="2" t="s">
        <v>26</v>
      </c>
      <c r="J827" s="2" t="n">
        <v>294</v>
      </c>
      <c r="K827" s="2" t="n">
        <v>0</v>
      </c>
      <c r="L827" s="2" t="n">
        <v>0</v>
      </c>
      <c r="M827" s="2" t="s">
        <v>131</v>
      </c>
      <c r="N827" s="3" t="n">
        <v>30</v>
      </c>
      <c r="O827" s="3" t="n">
        <v>-5.233</v>
      </c>
      <c r="P827" s="3" t="n">
        <v>153.102</v>
      </c>
      <c r="Q827" s="3" t="s">
        <v>629</v>
      </c>
      <c r="R827" s="2"/>
      <c r="S827" s="2"/>
      <c r="T827" s="4" t="n">
        <f aca="false">DATE(VALUE(MID(C827,7,4)),VALUE(MID(C827,4,2)),VALUE(MID(C827,1,2)))+TIME(VALUE(MID(C827,12,2)),VALUE(MID(C827,15,2)),0)</f>
        <v>36846.3208333333</v>
      </c>
      <c r="U827" s="2" t="str">
        <f aca="false">IF(AND(ISNUMBER(VALUE(MID(A827,7,1))),ISNUMBER(SEARCH("km",A827)),ISNUMBER(SEARCH("of",A827))),"Distance-location","Named-region")</f>
        <v>Named-region</v>
      </c>
      <c r="V827" s="2" t="str">
        <f aca="false">LOWER(M827)</f>
        <v>mwc</v>
      </c>
      <c r="W827" s="5" t="str">
        <f aca="false">IF(COUNTIFS($A$2:$A$1001,A827,$C$2:$C$1001,C827)&gt;1,"Duplicate","Unique")</f>
        <v>Unique</v>
      </c>
    </row>
    <row r="828" customFormat="false" ht="15" hidden="false" customHeight="false" outlineLevel="0" collapsed="false">
      <c r="A828" s="2" t="s">
        <v>2157</v>
      </c>
      <c r="B828" s="3" t="n">
        <v>8</v>
      </c>
      <c r="C828" s="2" t="s">
        <v>2158</v>
      </c>
      <c r="D828" s="2" t="n">
        <v>0</v>
      </c>
      <c r="E828" s="2" t="n">
        <v>7</v>
      </c>
      <c r="F828" s="2"/>
      <c r="G828" s="2" t="n">
        <v>0</v>
      </c>
      <c r="H828" s="2" t="n">
        <v>985</v>
      </c>
      <c r="I828" s="2" t="s">
        <v>26</v>
      </c>
      <c r="J828" s="2" t="n">
        <v>254</v>
      </c>
      <c r="K828" s="2" t="n">
        <v>0</v>
      </c>
      <c r="L828" s="2" t="n">
        <v>0</v>
      </c>
      <c r="M828" s="2" t="s">
        <v>131</v>
      </c>
      <c r="N828" s="3" t="n">
        <v>33</v>
      </c>
      <c r="O828" s="3" t="n">
        <v>-3.98</v>
      </c>
      <c r="P828" s="3" t="n">
        <v>152.169</v>
      </c>
      <c r="Q828" s="3" t="s">
        <v>801</v>
      </c>
      <c r="R828" s="2"/>
      <c r="S828" s="2" t="s">
        <v>89</v>
      </c>
      <c r="T828" s="4" t="n">
        <f aca="false">DATE(VALUE(MID(C828,7,4)),VALUE(MID(C828,4,2)),VALUE(MID(C828,1,2)))+TIME(VALUE(MID(C828,12,2)),VALUE(MID(C828,15,2)),0)</f>
        <v>36846.2041666667</v>
      </c>
      <c r="U828" s="2" t="str">
        <f aca="false">IF(AND(ISNUMBER(VALUE(MID(A828,7,1))),ISNUMBER(SEARCH("km",A828)),ISNUMBER(SEARCH("of",A828))),"Distance-location","Named-region")</f>
        <v>Named-region</v>
      </c>
      <c r="V828" s="2" t="str">
        <f aca="false">LOWER(M828)</f>
        <v>mwc</v>
      </c>
      <c r="W828" s="5" t="str">
        <f aca="false">IF(COUNTIFS($A$2:$A$1001,A828,$C$2:$C$1001,C828)&gt;1,"Duplicate","Unique")</f>
        <v>Unique</v>
      </c>
    </row>
    <row r="829" customFormat="false" ht="15" hidden="false" customHeight="false" outlineLevel="0" collapsed="false">
      <c r="A829" s="2" t="s">
        <v>2159</v>
      </c>
      <c r="B829" s="3" t="n">
        <v>6.5</v>
      </c>
      <c r="C829" s="2" t="s">
        <v>2160</v>
      </c>
      <c r="D829" s="2" t="n">
        <v>0</v>
      </c>
      <c r="E829" s="2" t="n">
        <v>7</v>
      </c>
      <c r="F829" s="2"/>
      <c r="G829" s="2" t="n">
        <v>0</v>
      </c>
      <c r="H829" s="2" t="n">
        <v>650</v>
      </c>
      <c r="I829" s="2" t="s">
        <v>26</v>
      </c>
      <c r="J829" s="2" t="n">
        <v>462</v>
      </c>
      <c r="K829" s="2" t="n">
        <v>0</v>
      </c>
      <c r="L829" s="2" t="n">
        <v>0</v>
      </c>
      <c r="M829" s="2" t="s">
        <v>131</v>
      </c>
      <c r="N829" s="3" t="n">
        <v>17</v>
      </c>
      <c r="O829" s="3" t="n">
        <v>7.042</v>
      </c>
      <c r="P829" s="3" t="n">
        <v>-77.829</v>
      </c>
      <c r="Q829" s="3" t="s">
        <v>2161</v>
      </c>
      <c r="R829" s="2"/>
      <c r="S829" s="2" t="s">
        <v>58</v>
      </c>
      <c r="T829" s="4" t="n">
        <f aca="false">DATE(VALUE(MID(C829,7,4)),VALUE(MID(C829,4,2)),VALUE(MID(C829,1,2)))+TIME(VALUE(MID(C829,12,2)),VALUE(MID(C829,15,2)),0)</f>
        <v>36838.2909722222</v>
      </c>
      <c r="U829" s="2" t="str">
        <f aca="false">IF(AND(ISNUMBER(VALUE(MID(A829,7,1))),ISNUMBER(SEARCH("km",A829)),ISNUMBER(SEARCH("of",A829))),"Distance-location","Named-region")</f>
        <v>Named-region</v>
      </c>
      <c r="V829" s="2" t="str">
        <f aca="false">LOWER(M829)</f>
        <v>mwc</v>
      </c>
      <c r="W829" s="5" t="str">
        <f aca="false">IF(COUNTIFS($A$2:$A$1001,A829,$C$2:$C$1001,C829)&gt;1,"Duplicate","Unique")</f>
        <v>Unique</v>
      </c>
    </row>
    <row r="830" customFormat="false" ht="15" hidden="false" customHeight="false" outlineLevel="0" collapsed="false">
      <c r="A830" s="2" t="s">
        <v>2162</v>
      </c>
      <c r="B830" s="3" t="n">
        <v>7</v>
      </c>
      <c r="C830" s="2" t="s">
        <v>2163</v>
      </c>
      <c r="D830" s="2" t="n">
        <v>0</v>
      </c>
      <c r="E830" s="2" t="n">
        <v>7</v>
      </c>
      <c r="F830" s="2"/>
      <c r="G830" s="2" t="n">
        <v>0</v>
      </c>
      <c r="H830" s="2" t="n">
        <v>754</v>
      </c>
      <c r="I830" s="2" t="s">
        <v>26</v>
      </c>
      <c r="J830" s="2" t="n">
        <v>60</v>
      </c>
      <c r="K830" s="2" t="n">
        <v>0</v>
      </c>
      <c r="L830" s="2" t="n">
        <v>0</v>
      </c>
      <c r="M830" s="2" t="s">
        <v>131</v>
      </c>
      <c r="N830" s="3" t="n">
        <v>50</v>
      </c>
      <c r="O830" s="3" t="n">
        <v>-4.766</v>
      </c>
      <c r="P830" s="3" t="n">
        <v>153.945</v>
      </c>
      <c r="Q830" s="3" t="s">
        <v>629</v>
      </c>
      <c r="R830" s="2"/>
      <c r="S830" s="2" t="s">
        <v>89</v>
      </c>
      <c r="T830" s="4" t="n">
        <f aca="false">DATE(VALUE(MID(C830,7,4)),VALUE(MID(C830,4,2)),VALUE(MID(C830,1,2)))+TIME(VALUE(MID(C830,12,2)),VALUE(MID(C830,15,2)),0)</f>
        <v>36828.3590277778</v>
      </c>
      <c r="U830" s="2" t="str">
        <f aca="false">IF(AND(ISNUMBER(VALUE(MID(A830,7,1))),ISNUMBER(SEARCH("km",A830)),ISNUMBER(SEARCH("of",A830))),"Distance-location","Named-region")</f>
        <v>Named-region</v>
      </c>
      <c r="V830" s="2" t="str">
        <f aca="false">LOWER(M830)</f>
        <v>mwc</v>
      </c>
      <c r="W830" s="5" t="str">
        <f aca="false">IF(COUNTIFS($A$2:$A$1001,A830,$C$2:$C$1001,C830)&gt;1,"Duplicate","Unique")</f>
        <v>Unique</v>
      </c>
    </row>
    <row r="831" customFormat="false" ht="15" hidden="false" customHeight="false" outlineLevel="0" collapsed="false">
      <c r="A831" s="2" t="s">
        <v>2164</v>
      </c>
      <c r="B831" s="3" t="n">
        <v>6.8</v>
      </c>
      <c r="C831" s="2" t="s">
        <v>2165</v>
      </c>
      <c r="D831" s="2" t="n">
        <v>0</v>
      </c>
      <c r="E831" s="2" t="n">
        <v>6</v>
      </c>
      <c r="F831" s="2"/>
      <c r="G831" s="2" t="n">
        <v>0</v>
      </c>
      <c r="H831" s="2" t="n">
        <v>711</v>
      </c>
      <c r="I831" s="2" t="s">
        <v>26</v>
      </c>
      <c r="J831" s="2" t="n">
        <v>415</v>
      </c>
      <c r="K831" s="2" t="n">
        <v>0</v>
      </c>
      <c r="L831" s="2" t="n">
        <v>0</v>
      </c>
      <c r="M831" s="2" t="s">
        <v>131</v>
      </c>
      <c r="N831" s="3" t="n">
        <v>38</v>
      </c>
      <c r="O831" s="3" t="n">
        <v>-6.549</v>
      </c>
      <c r="P831" s="3" t="n">
        <v>105.63</v>
      </c>
      <c r="Q831" s="3" t="s">
        <v>235</v>
      </c>
      <c r="R831" s="2"/>
      <c r="S831" s="2" t="s">
        <v>72</v>
      </c>
      <c r="T831" s="4" t="n">
        <f aca="false">DATE(VALUE(MID(C831,7,4)),VALUE(MID(C831,4,2)),VALUE(MID(C831,1,2)))+TIME(VALUE(MID(C831,12,2)),VALUE(MID(C831,15,2)),0)</f>
        <v>36824.3972222222</v>
      </c>
      <c r="U831" s="2" t="str">
        <f aca="false">IF(AND(ISNUMBER(VALUE(MID(A831,7,1))),ISNUMBER(SEARCH("km",A831)),ISNUMBER(SEARCH("of",A831))),"Distance-location","Named-region")</f>
        <v>Named-region</v>
      </c>
      <c r="V831" s="2" t="str">
        <f aca="false">LOWER(M831)</f>
        <v>mwc</v>
      </c>
      <c r="W831" s="5" t="str">
        <f aca="false">IF(COUNTIFS($A$2:$A$1001,A831,$C$2:$C$1001,C831)&gt;1,"Duplicate","Unique")</f>
        <v>Unique</v>
      </c>
    </row>
    <row r="832" customFormat="false" ht="15" hidden="false" customHeight="false" outlineLevel="0" collapsed="false">
      <c r="A832" s="2" t="s">
        <v>2166</v>
      </c>
      <c r="B832" s="3" t="n">
        <v>6.7</v>
      </c>
      <c r="C832" s="2" t="s">
        <v>2167</v>
      </c>
      <c r="D832" s="2" t="n">
        <v>0</v>
      </c>
      <c r="E832" s="2" t="n">
        <v>8</v>
      </c>
      <c r="F832" s="2"/>
      <c r="G832" s="2" t="n">
        <v>0</v>
      </c>
      <c r="H832" s="2" t="n">
        <v>691</v>
      </c>
      <c r="I832" s="2" t="s">
        <v>26</v>
      </c>
      <c r="J832" s="2" t="n">
        <v>390</v>
      </c>
      <c r="K832" s="2" t="n">
        <v>0</v>
      </c>
      <c r="L832" s="2" t="n">
        <v>0</v>
      </c>
      <c r="M832" s="2" t="s">
        <v>131</v>
      </c>
      <c r="N832" s="3" t="n">
        <v>10</v>
      </c>
      <c r="O832" s="3" t="n">
        <v>35.456</v>
      </c>
      <c r="P832" s="3" t="n">
        <v>133.134</v>
      </c>
      <c r="Q832" s="3" t="s">
        <v>2168</v>
      </c>
      <c r="R832" s="2" t="s">
        <v>84</v>
      </c>
      <c r="S832" s="2" t="s">
        <v>326</v>
      </c>
      <c r="T832" s="4" t="n">
        <f aca="false">DATE(VALUE(MID(C832,7,4)),VALUE(MID(C832,4,2)),VALUE(MID(C832,1,2)))+TIME(VALUE(MID(C832,12,2)),VALUE(MID(C832,15,2)),0)</f>
        <v>36805.1875</v>
      </c>
      <c r="U832" s="2" t="str">
        <f aca="false">IF(AND(ISNUMBER(VALUE(MID(A832,7,1))),ISNUMBER(SEARCH("km",A832)),ISNUMBER(SEARCH("of",A832))),"Distance-location","Named-region")</f>
        <v>Named-region</v>
      </c>
      <c r="V832" s="2" t="str">
        <f aca="false">LOWER(M832)</f>
        <v>mwc</v>
      </c>
      <c r="W832" s="5" t="str">
        <f aca="false">IF(COUNTIFS($A$2:$A$1001,A832,$C$2:$C$1001,C832)&gt;1,"Duplicate","Unique")</f>
        <v>Unique</v>
      </c>
    </row>
    <row r="833" customFormat="false" ht="15" hidden="false" customHeight="false" outlineLevel="0" collapsed="false">
      <c r="A833" s="2" t="s">
        <v>2169</v>
      </c>
      <c r="B833" s="3" t="n">
        <v>7</v>
      </c>
      <c r="C833" s="2" t="s">
        <v>2170</v>
      </c>
      <c r="D833" s="2" t="n">
        <v>0</v>
      </c>
      <c r="E833" s="2" t="n">
        <v>7</v>
      </c>
      <c r="F833" s="2"/>
      <c r="G833" s="2" t="n">
        <v>0</v>
      </c>
      <c r="H833" s="2" t="n">
        <v>754</v>
      </c>
      <c r="I833" s="2" t="s">
        <v>26</v>
      </c>
      <c r="J833" s="2" t="n">
        <v>357</v>
      </c>
      <c r="K833" s="2" t="n">
        <v>0</v>
      </c>
      <c r="L833" s="2" t="n">
        <v>0</v>
      </c>
      <c r="M833" s="2" t="s">
        <v>131</v>
      </c>
      <c r="N833" s="3" t="n">
        <v>23</v>
      </c>
      <c r="O833" s="3" t="n">
        <v>-15.421</v>
      </c>
      <c r="P833" s="3" t="n">
        <v>166.91</v>
      </c>
      <c r="Q833" s="3" t="s">
        <v>1689</v>
      </c>
      <c r="R833" s="2"/>
      <c r="S833" s="2" t="s">
        <v>29</v>
      </c>
      <c r="T833" s="4" t="n">
        <f aca="false">DATE(VALUE(MID(C833,7,4)),VALUE(MID(C833,4,2)),VALUE(MID(C833,1,2)))+TIME(VALUE(MID(C833,12,2)),VALUE(MID(C833,15,2)),0)</f>
        <v>36803.7069444444</v>
      </c>
      <c r="U833" s="2" t="str">
        <f aca="false">IF(AND(ISNUMBER(VALUE(MID(A833,7,1))),ISNUMBER(SEARCH("km",A833)),ISNUMBER(SEARCH("of",A833))),"Distance-location","Named-region")</f>
        <v>Named-region</v>
      </c>
      <c r="V833" s="2" t="str">
        <f aca="false">LOWER(M833)</f>
        <v>mwc</v>
      </c>
      <c r="W833" s="5" t="str">
        <f aca="false">IF(COUNTIFS($A$2:$A$1001,A833,$C$2:$C$1001,C833)&gt;1,"Duplicate","Unique")</f>
        <v>Unique</v>
      </c>
    </row>
    <row r="834" customFormat="false" ht="15" hidden="false" customHeight="false" outlineLevel="0" collapsed="false">
      <c r="A834" s="2" t="s">
        <v>2171</v>
      </c>
      <c r="B834" s="3" t="n">
        <v>6.5</v>
      </c>
      <c r="C834" s="2" t="s">
        <v>2172</v>
      </c>
      <c r="D834" s="2" t="n">
        <v>0</v>
      </c>
      <c r="E834" s="2" t="n">
        <v>6</v>
      </c>
      <c r="F834" s="2"/>
      <c r="G834" s="2" t="n">
        <v>0</v>
      </c>
      <c r="H834" s="2" t="n">
        <v>650</v>
      </c>
      <c r="I834" s="2" t="s">
        <v>26</v>
      </c>
      <c r="J834" s="2" t="n">
        <v>415</v>
      </c>
      <c r="K834" s="2" t="n">
        <v>0</v>
      </c>
      <c r="L834" s="2" t="n">
        <v>0</v>
      </c>
      <c r="M834" s="2" t="s">
        <v>158</v>
      </c>
      <c r="N834" s="3" t="n">
        <v>34</v>
      </c>
      <c r="O834" s="3" t="n">
        <v>-7.977</v>
      </c>
      <c r="P834" s="3" t="n">
        <v>30.709</v>
      </c>
      <c r="Q834" s="3" t="s">
        <v>2173</v>
      </c>
      <c r="R834" s="2" t="s">
        <v>726</v>
      </c>
      <c r="S834" s="2" t="s">
        <v>1789</v>
      </c>
      <c r="T834" s="4" t="n">
        <f aca="false">DATE(VALUE(MID(C834,7,4)),VALUE(MID(C834,4,2)),VALUE(MID(C834,1,2)))+TIME(VALUE(MID(C834,12,2)),VALUE(MID(C834,15,2)),0)</f>
        <v>36801.1006944444</v>
      </c>
      <c r="U834" s="2" t="str">
        <f aca="false">IF(AND(ISNUMBER(VALUE(MID(A834,7,1))),ISNUMBER(SEARCH("km",A834)),ISNUMBER(SEARCH("of",A834))),"Distance-location","Named-region")</f>
        <v>Named-region</v>
      </c>
      <c r="V834" s="2" t="str">
        <f aca="false">LOWER(M834)</f>
        <v>mwb</v>
      </c>
      <c r="W834" s="5" t="str">
        <f aca="false">IF(COUNTIFS($A$2:$A$1001,A834,$C$2:$C$1001,C834)&gt;1,"Duplicate","Unique")</f>
        <v>Unique</v>
      </c>
    </row>
    <row r="835" customFormat="false" ht="15" hidden="false" customHeight="false" outlineLevel="0" collapsed="false">
      <c r="A835" s="2" t="s">
        <v>2174</v>
      </c>
      <c r="B835" s="3" t="n">
        <v>6.8</v>
      </c>
      <c r="C835" s="2" t="s">
        <v>2175</v>
      </c>
      <c r="D835" s="2" t="n">
        <v>0</v>
      </c>
      <c r="E835" s="2" t="n">
        <v>6</v>
      </c>
      <c r="F835" s="2"/>
      <c r="G835" s="2" t="n">
        <v>0</v>
      </c>
      <c r="H835" s="2" t="n">
        <v>711</v>
      </c>
      <c r="I835" s="2" t="s">
        <v>26</v>
      </c>
      <c r="J835" s="2" t="n">
        <v>336</v>
      </c>
      <c r="K835" s="2" t="n">
        <v>0</v>
      </c>
      <c r="L835" s="2" t="n">
        <v>0</v>
      </c>
      <c r="M835" s="2" t="s">
        <v>131</v>
      </c>
      <c r="N835" s="3" t="n">
        <v>16</v>
      </c>
      <c r="O835" s="3" t="n">
        <v>-4.11</v>
      </c>
      <c r="P835" s="3" t="n">
        <v>127.394</v>
      </c>
      <c r="Q835" s="3" t="s">
        <v>1774</v>
      </c>
      <c r="R835" s="2"/>
      <c r="S835" s="2" t="s">
        <v>72</v>
      </c>
      <c r="T835" s="4" t="n">
        <f aca="false">DATE(VALUE(MID(C835,7,4)),VALUE(MID(C835,4,2)),VALUE(MID(C835,1,2)))+TIME(VALUE(MID(C835,12,2)),VALUE(MID(C835,15,2)),0)</f>
        <v>36766.6284722222</v>
      </c>
      <c r="U835" s="2" t="str">
        <f aca="false">IF(AND(ISNUMBER(VALUE(MID(A835,7,1))),ISNUMBER(SEARCH("km",A835)),ISNUMBER(SEARCH("of",A835))),"Distance-location","Named-region")</f>
        <v>Named-region</v>
      </c>
      <c r="V835" s="2" t="str">
        <f aca="false">LOWER(M835)</f>
        <v>mwc</v>
      </c>
      <c r="W835" s="5" t="str">
        <f aca="false">IF(COUNTIFS($A$2:$A$1001,A835,$C$2:$C$1001,C835)&gt;1,"Duplicate","Unique")</f>
        <v>Unique</v>
      </c>
    </row>
    <row r="836" customFormat="false" ht="15" hidden="false" customHeight="false" outlineLevel="0" collapsed="false">
      <c r="A836" s="2" t="s">
        <v>2176</v>
      </c>
      <c r="B836" s="3" t="n">
        <v>6.5</v>
      </c>
      <c r="C836" s="2" t="s">
        <v>2177</v>
      </c>
      <c r="D836" s="2" t="n">
        <v>0</v>
      </c>
      <c r="E836" s="2" t="n">
        <v>6</v>
      </c>
      <c r="F836" s="2"/>
      <c r="G836" s="2" t="n">
        <v>0</v>
      </c>
      <c r="H836" s="2" t="n">
        <v>650</v>
      </c>
      <c r="I836" s="2" t="s">
        <v>26</v>
      </c>
      <c r="J836" s="2" t="n">
        <v>481</v>
      </c>
      <c r="K836" s="2" t="n">
        <v>0</v>
      </c>
      <c r="L836" s="2" t="n">
        <v>0</v>
      </c>
      <c r="M836" s="2" t="s">
        <v>131</v>
      </c>
      <c r="N836" s="3" t="n">
        <v>45.8</v>
      </c>
      <c r="O836" s="3" t="n">
        <v>18.198</v>
      </c>
      <c r="P836" s="3" t="n">
        <v>-102.48</v>
      </c>
      <c r="Q836" s="3" t="s">
        <v>1291</v>
      </c>
      <c r="R836" s="2" t="s">
        <v>168</v>
      </c>
      <c r="S836" s="2" t="s">
        <v>169</v>
      </c>
      <c r="T836" s="4" t="n">
        <f aca="false">DATE(VALUE(MID(C836,7,4)),VALUE(MID(C836,4,2)),VALUE(MID(C836,1,2)))+TIME(VALUE(MID(C836,12,2)),VALUE(MID(C836,15,2)),0)</f>
        <v>36747.4868055556</v>
      </c>
      <c r="U836" s="2" t="str">
        <f aca="false">IF(AND(ISNUMBER(VALUE(MID(A836,7,1))),ISNUMBER(SEARCH("km",A836)),ISNUMBER(SEARCH("of",A836))),"Distance-location","Named-region")</f>
        <v>Named-region</v>
      </c>
      <c r="V836" s="2" t="str">
        <f aca="false">LOWER(M836)</f>
        <v>mwc</v>
      </c>
      <c r="W836" s="5" t="str">
        <f aca="false">IF(COUNTIFS($A$2:$A$1001,A836,$C$2:$C$1001,C836)&gt;1,"Duplicate","Unique")</f>
        <v>Unique</v>
      </c>
    </row>
    <row r="837" customFormat="false" ht="15" hidden="false" customHeight="false" outlineLevel="0" collapsed="false">
      <c r="A837" s="2" t="s">
        <v>2178</v>
      </c>
      <c r="B837" s="3" t="n">
        <v>6.8</v>
      </c>
      <c r="C837" s="2" t="s">
        <v>2179</v>
      </c>
      <c r="D837" s="2" t="n">
        <v>0</v>
      </c>
      <c r="E837" s="2" t="n">
        <v>7</v>
      </c>
      <c r="F837" s="2"/>
      <c r="G837" s="2" t="n">
        <v>0</v>
      </c>
      <c r="H837" s="2" t="n">
        <v>711</v>
      </c>
      <c r="I837" s="2" t="s">
        <v>26</v>
      </c>
      <c r="J837" s="2" t="n">
        <v>593</v>
      </c>
      <c r="K837" s="2" t="n">
        <v>0</v>
      </c>
      <c r="L837" s="2" t="n">
        <v>0</v>
      </c>
      <c r="M837" s="2" t="s">
        <v>131</v>
      </c>
      <c r="N837" s="3" t="n">
        <v>10</v>
      </c>
      <c r="O837" s="3" t="n">
        <v>48.786</v>
      </c>
      <c r="P837" s="3" t="n">
        <v>142.246</v>
      </c>
      <c r="Q837" s="3" t="s">
        <v>2180</v>
      </c>
      <c r="R837" s="2" t="s">
        <v>84</v>
      </c>
      <c r="S837" s="2" t="s">
        <v>432</v>
      </c>
      <c r="T837" s="4" t="n">
        <f aca="false">DATE(VALUE(MID(C837,7,4)),VALUE(MID(C837,4,2)),VALUE(MID(C837,1,2)))+TIME(VALUE(MID(C837,12,2)),VALUE(MID(C837,15,2)),0)</f>
        <v>36742.8840277778</v>
      </c>
      <c r="U837" s="2" t="str">
        <f aca="false">IF(AND(ISNUMBER(VALUE(MID(A837,7,1))),ISNUMBER(SEARCH("km",A837)),ISNUMBER(SEARCH("of",A837))),"Distance-location","Named-region")</f>
        <v>Named-region</v>
      </c>
      <c r="V837" s="2" t="str">
        <f aca="false">LOWER(M837)</f>
        <v>mwc</v>
      </c>
      <c r="W837" s="5" t="str">
        <f aca="false">IF(COUNTIFS($A$2:$A$1001,A837,$C$2:$C$1001,C837)&gt;1,"Duplicate","Unique")</f>
        <v>Unique</v>
      </c>
    </row>
    <row r="838" customFormat="false" ht="15" hidden="false" customHeight="false" outlineLevel="0" collapsed="false">
      <c r="A838" s="2" t="s">
        <v>2181</v>
      </c>
      <c r="B838" s="3" t="n">
        <v>6.6</v>
      </c>
      <c r="C838" s="2" t="s">
        <v>2182</v>
      </c>
      <c r="D838" s="2" t="n">
        <v>0</v>
      </c>
      <c r="E838" s="2" t="n">
        <v>6</v>
      </c>
      <c r="F838" s="2"/>
      <c r="G838" s="2" t="n">
        <v>0</v>
      </c>
      <c r="H838" s="2" t="n">
        <v>670</v>
      </c>
      <c r="I838" s="2" t="s">
        <v>26</v>
      </c>
      <c r="J838" s="2" t="n">
        <v>218</v>
      </c>
      <c r="K838" s="2" t="n">
        <v>0</v>
      </c>
      <c r="L838" s="2" t="n">
        <v>0</v>
      </c>
      <c r="M838" s="2" t="s">
        <v>131</v>
      </c>
      <c r="N838" s="3" t="n">
        <v>33</v>
      </c>
      <c r="O838" s="3" t="n">
        <v>-12.037</v>
      </c>
      <c r="P838" s="3" t="n">
        <v>166.448</v>
      </c>
      <c r="Q838" s="3" t="s">
        <v>416</v>
      </c>
      <c r="R838" s="2"/>
      <c r="S838" s="2"/>
      <c r="T838" s="4" t="n">
        <f aca="false">DATE(VALUE(MID(C838,7,4)),VALUE(MID(C838,4,2)),VALUE(MID(C838,1,2)))+TIME(VALUE(MID(C838,12,2)),VALUE(MID(C838,15,2)),0)</f>
        <v>36741.0479166667</v>
      </c>
      <c r="U838" s="2" t="str">
        <f aca="false">IF(AND(ISNUMBER(VALUE(MID(A838,7,1))),ISNUMBER(SEARCH("km",A838)),ISNUMBER(SEARCH("of",A838))),"Distance-location","Named-region")</f>
        <v>Named-region</v>
      </c>
      <c r="V838" s="2" t="str">
        <f aca="false">LOWER(M838)</f>
        <v>mwc</v>
      </c>
      <c r="W838" s="5" t="str">
        <f aca="false">IF(COUNTIFS($A$2:$A$1001,A838,$C$2:$C$1001,C838)&gt;1,"Duplicate","Unique")</f>
        <v>Unique</v>
      </c>
    </row>
    <row r="839" customFormat="false" ht="15" hidden="false" customHeight="false" outlineLevel="0" collapsed="false">
      <c r="A839" s="2" t="s">
        <v>2183</v>
      </c>
      <c r="B839" s="3" t="n">
        <v>6.5</v>
      </c>
      <c r="C839" s="2" t="s">
        <v>2184</v>
      </c>
      <c r="D839" s="2" t="n">
        <v>0</v>
      </c>
      <c r="E839" s="2" t="n">
        <v>7</v>
      </c>
      <c r="F839" s="2"/>
      <c r="G839" s="2" t="n">
        <v>0</v>
      </c>
      <c r="H839" s="2" t="n">
        <v>650</v>
      </c>
      <c r="I839" s="2" t="s">
        <v>26</v>
      </c>
      <c r="J839" s="2" t="n">
        <v>428</v>
      </c>
      <c r="K839" s="2" t="n">
        <v>0</v>
      </c>
      <c r="L839" s="2" t="n">
        <v>0</v>
      </c>
      <c r="M839" s="2" t="s">
        <v>131</v>
      </c>
      <c r="N839" s="3" t="n">
        <v>10</v>
      </c>
      <c r="O839" s="3" t="n">
        <v>33.901</v>
      </c>
      <c r="P839" s="3" t="n">
        <v>139.376</v>
      </c>
      <c r="Q839" s="3" t="s">
        <v>2185</v>
      </c>
      <c r="R839" s="2"/>
      <c r="S839" s="2" t="s">
        <v>326</v>
      </c>
      <c r="T839" s="4" t="n">
        <f aca="false">DATE(VALUE(MID(C839,7,4)),VALUE(MID(C839,4,2)),VALUE(MID(C839,1,2)))+TIME(VALUE(MID(C839,12,2)),VALUE(MID(C839,15,2)),0)</f>
        <v>36737.5173611111</v>
      </c>
      <c r="U839" s="2" t="str">
        <f aca="false">IF(AND(ISNUMBER(VALUE(MID(A839,7,1))),ISNUMBER(SEARCH("km",A839)),ISNUMBER(SEARCH("of",A839))),"Distance-location","Named-region")</f>
        <v>Named-region</v>
      </c>
      <c r="V839" s="2" t="str">
        <f aca="false">LOWER(M839)</f>
        <v>mwc</v>
      </c>
      <c r="W839" s="5" t="str">
        <f aca="false">IF(COUNTIFS($A$2:$A$1001,A839,$C$2:$C$1001,C839)&gt;1,"Duplicate","Unique")</f>
        <v>Unique</v>
      </c>
    </row>
    <row r="840" customFormat="false" ht="15" hidden="false" customHeight="false" outlineLevel="0" collapsed="false">
      <c r="A840" s="2" t="s">
        <v>2186</v>
      </c>
      <c r="B840" s="3" t="n">
        <v>6.6</v>
      </c>
      <c r="C840" s="2" t="s">
        <v>2187</v>
      </c>
      <c r="D840" s="2" t="n">
        <v>0</v>
      </c>
      <c r="E840" s="2" t="n">
        <v>5</v>
      </c>
      <c r="F840" s="2"/>
      <c r="G840" s="2" t="n">
        <v>0</v>
      </c>
      <c r="H840" s="2" t="n">
        <v>670</v>
      </c>
      <c r="I840" s="2" t="s">
        <v>26</v>
      </c>
      <c r="J840" s="2" t="n">
        <v>367</v>
      </c>
      <c r="K840" s="2" t="n">
        <v>0</v>
      </c>
      <c r="L840" s="2" t="n">
        <v>0</v>
      </c>
      <c r="M840" s="2" t="s">
        <v>131</v>
      </c>
      <c r="N840" s="3" t="n">
        <v>10</v>
      </c>
      <c r="O840" s="3" t="n">
        <v>-7.747</v>
      </c>
      <c r="P840" s="3" t="n">
        <v>150.917</v>
      </c>
      <c r="Q840" s="3" t="s">
        <v>793</v>
      </c>
      <c r="R840" s="2"/>
      <c r="S840" s="2"/>
      <c r="T840" s="4" t="n">
        <f aca="false">DATE(VALUE(MID(C840,7,4)),VALUE(MID(C840,4,2)),VALUE(MID(C840,1,2)))+TIME(VALUE(MID(C840,12,2)),VALUE(MID(C840,15,2)),0)</f>
        <v>36723.1645833333</v>
      </c>
      <c r="U840" s="2" t="str">
        <f aca="false">IF(AND(ISNUMBER(VALUE(MID(A840,7,1))),ISNUMBER(SEARCH("km",A840)),ISNUMBER(SEARCH("of",A840))),"Distance-location","Named-region")</f>
        <v>Named-region</v>
      </c>
      <c r="V840" s="2" t="str">
        <f aca="false">LOWER(M840)</f>
        <v>mwc</v>
      </c>
      <c r="W840" s="5" t="str">
        <f aca="false">IF(COUNTIFS($A$2:$A$1001,A840,$C$2:$C$1001,C840)&gt;1,"Duplicate","Unique")</f>
        <v>Unique</v>
      </c>
    </row>
    <row r="841" customFormat="false" ht="15" hidden="false" customHeight="false" outlineLevel="0" collapsed="false">
      <c r="A841" s="2" t="s">
        <v>2188</v>
      </c>
      <c r="B841" s="3" t="n">
        <v>6.5</v>
      </c>
      <c r="C841" s="2" t="s">
        <v>2189</v>
      </c>
      <c r="D841" s="2" t="n">
        <v>0</v>
      </c>
      <c r="E841" s="2" t="n">
        <v>6</v>
      </c>
      <c r="F841" s="2"/>
      <c r="G841" s="2" t="n">
        <v>0</v>
      </c>
      <c r="H841" s="2" t="n">
        <v>650</v>
      </c>
      <c r="I841" s="2" t="s">
        <v>263</v>
      </c>
      <c r="J841" s="2" t="n">
        <v>0</v>
      </c>
      <c r="K841" s="2" t="n">
        <v>0</v>
      </c>
      <c r="L841" s="2" t="n">
        <v>0</v>
      </c>
      <c r="M841" s="2" t="s">
        <v>489</v>
      </c>
      <c r="N841" s="3" t="n">
        <v>42.9</v>
      </c>
      <c r="O841" s="3" t="n">
        <v>57.3546</v>
      </c>
      <c r="P841" s="3" t="n">
        <v>-154.198</v>
      </c>
      <c r="Q841" s="3" t="s">
        <v>2190</v>
      </c>
      <c r="R841" s="2" t="s">
        <v>168</v>
      </c>
      <c r="S841" s="2" t="s">
        <v>265</v>
      </c>
      <c r="T841" s="4" t="n">
        <f aca="false">DATE(VALUE(MID(C841,7,4)),VALUE(MID(C841,4,2)),VALUE(MID(C841,1,2)))+TIME(VALUE(MID(C841,12,2)),VALUE(MID(C841,15,2)),0)</f>
        <v>36718.0638888889</v>
      </c>
      <c r="U841" s="2" t="str">
        <f aca="false">IF(AND(ISNUMBER(VALUE(MID(A841,7,1))),ISNUMBER(SEARCH("km",A841)),ISNUMBER(SEARCH("of",A841))),"Distance-location","Named-region")</f>
        <v>Named-region</v>
      </c>
      <c r="V841" s="2" t="str">
        <f aca="false">LOWER(M841)</f>
        <v>mw</v>
      </c>
      <c r="W841" s="5" t="str">
        <f aca="false">IF(COUNTIFS($A$2:$A$1001,A841,$C$2:$C$1001,C841)&gt;1,"Duplicate","Unique")</f>
        <v>Unique</v>
      </c>
    </row>
    <row r="842" customFormat="false" ht="15" hidden="false" customHeight="false" outlineLevel="0" collapsed="false">
      <c r="A842" s="2" t="s">
        <v>2191</v>
      </c>
      <c r="B842" s="3" t="n">
        <v>6.5</v>
      </c>
      <c r="C842" s="2" t="s">
        <v>2192</v>
      </c>
      <c r="D842" s="2" t="n">
        <v>0</v>
      </c>
      <c r="E842" s="2" t="n">
        <v>9</v>
      </c>
      <c r="F842" s="2"/>
      <c r="G842" s="2" t="n">
        <v>0</v>
      </c>
      <c r="H842" s="2" t="n">
        <v>650</v>
      </c>
      <c r="I842" s="2" t="s">
        <v>26</v>
      </c>
      <c r="J842" s="2" t="n">
        <v>351</v>
      </c>
      <c r="K842" s="2" t="n">
        <v>0</v>
      </c>
      <c r="L842" s="2" t="n">
        <v>0</v>
      </c>
      <c r="M842" s="2" t="s">
        <v>131</v>
      </c>
      <c r="N842" s="3" t="n">
        <v>10</v>
      </c>
      <c r="O842" s="3" t="n">
        <v>63.98</v>
      </c>
      <c r="P842" s="3" t="n">
        <v>-20.758</v>
      </c>
      <c r="Q842" s="3" t="s">
        <v>2193</v>
      </c>
      <c r="R842" s="2"/>
      <c r="S842" s="2" t="s">
        <v>2194</v>
      </c>
      <c r="T842" s="4" t="n">
        <f aca="false">DATE(VALUE(MID(C842,7,4)),VALUE(MID(C842,4,2)),VALUE(MID(C842,1,2)))+TIME(VALUE(MID(C842,12,2)),VALUE(MID(C842,15,2)),0)</f>
        <v>36698.0354166667</v>
      </c>
      <c r="U842" s="2" t="str">
        <f aca="false">IF(AND(ISNUMBER(VALUE(MID(A842,7,1))),ISNUMBER(SEARCH("km",A842)),ISNUMBER(SEARCH("of",A842))),"Distance-location","Named-region")</f>
        <v>Named-region</v>
      </c>
      <c r="V842" s="2" t="str">
        <f aca="false">LOWER(M842)</f>
        <v>mwc</v>
      </c>
      <c r="W842" s="5" t="str">
        <f aca="false">IF(COUNTIFS($A$2:$A$1001,A842,$C$2:$C$1001,C842)&gt;1,"Duplicate","Unique")</f>
        <v>Unique</v>
      </c>
    </row>
    <row r="843" customFormat="false" ht="15" hidden="false" customHeight="false" outlineLevel="0" collapsed="false">
      <c r="A843" s="2" t="s">
        <v>2195</v>
      </c>
      <c r="B843" s="3" t="n">
        <v>7.9</v>
      </c>
      <c r="C843" s="2" t="s">
        <v>2196</v>
      </c>
      <c r="D843" s="2" t="n">
        <v>0</v>
      </c>
      <c r="E843" s="2" t="n">
        <v>5</v>
      </c>
      <c r="F843" s="2"/>
      <c r="G843" s="2" t="n">
        <v>0</v>
      </c>
      <c r="H843" s="2" t="n">
        <v>960</v>
      </c>
      <c r="I843" s="2" t="s">
        <v>26</v>
      </c>
      <c r="J843" s="2" t="n">
        <v>405</v>
      </c>
      <c r="K843" s="2" t="n">
        <v>0</v>
      </c>
      <c r="L843" s="2" t="n">
        <v>0</v>
      </c>
      <c r="M843" s="2" t="s">
        <v>131</v>
      </c>
      <c r="N843" s="3" t="n">
        <v>10</v>
      </c>
      <c r="O843" s="3" t="n">
        <v>-13.802</v>
      </c>
      <c r="P843" s="3" t="n">
        <v>97.453</v>
      </c>
      <c r="Q843" s="3" t="s">
        <v>2197</v>
      </c>
      <c r="R843" s="2"/>
      <c r="S843" s="2"/>
      <c r="T843" s="4" t="n">
        <f aca="false">DATE(VALUE(MID(C843,7,4)),VALUE(MID(C843,4,2)),VALUE(MID(C843,1,2)))+TIME(VALUE(MID(C843,12,2)),VALUE(MID(C843,15,2)),0)</f>
        <v>36695.6138888889</v>
      </c>
      <c r="U843" s="2" t="str">
        <f aca="false">IF(AND(ISNUMBER(VALUE(MID(A843,7,1))),ISNUMBER(SEARCH("km",A843)),ISNUMBER(SEARCH("of",A843))),"Distance-location","Named-region")</f>
        <v>Named-region</v>
      </c>
      <c r="V843" s="2" t="str">
        <f aca="false">LOWER(M843)</f>
        <v>mwc</v>
      </c>
      <c r="W843" s="5" t="str">
        <f aca="false">IF(COUNTIFS($A$2:$A$1001,A843,$C$2:$C$1001,C843)&gt;1,"Duplicate","Unique")</f>
        <v>Unique</v>
      </c>
    </row>
    <row r="844" customFormat="false" ht="15" hidden="false" customHeight="false" outlineLevel="0" collapsed="false">
      <c r="A844" s="2" t="s">
        <v>2198</v>
      </c>
      <c r="B844" s="3" t="n">
        <v>6.5</v>
      </c>
      <c r="C844" s="2" t="s">
        <v>2199</v>
      </c>
      <c r="D844" s="2" t="n">
        <v>0</v>
      </c>
      <c r="E844" s="2" t="n">
        <v>8</v>
      </c>
      <c r="F844" s="2"/>
      <c r="G844" s="2" t="n">
        <v>0</v>
      </c>
      <c r="H844" s="2" t="n">
        <v>650</v>
      </c>
      <c r="I844" s="2" t="s">
        <v>26</v>
      </c>
      <c r="J844" s="2" t="n">
        <v>406</v>
      </c>
      <c r="K844" s="2" t="n">
        <v>0</v>
      </c>
      <c r="L844" s="2" t="n">
        <v>0</v>
      </c>
      <c r="M844" s="2" t="s">
        <v>131</v>
      </c>
      <c r="N844" s="3" t="n">
        <v>10</v>
      </c>
      <c r="O844" s="3" t="n">
        <v>63.966</v>
      </c>
      <c r="P844" s="3" t="n">
        <v>-20.487</v>
      </c>
      <c r="Q844" s="3" t="s">
        <v>2193</v>
      </c>
      <c r="R844" s="2"/>
      <c r="S844" s="2" t="s">
        <v>2194</v>
      </c>
      <c r="T844" s="4" t="n">
        <f aca="false">DATE(VALUE(MID(C844,7,4)),VALUE(MID(C844,4,2)),VALUE(MID(C844,1,2)))+TIME(VALUE(MID(C844,12,2)),VALUE(MID(C844,15,2)),0)</f>
        <v>36694.6527777778</v>
      </c>
      <c r="U844" s="2" t="str">
        <f aca="false">IF(AND(ISNUMBER(VALUE(MID(A844,7,1))),ISNUMBER(SEARCH("km",A844)),ISNUMBER(SEARCH("of",A844))),"Distance-location","Named-region")</f>
        <v>Named-region</v>
      </c>
      <c r="V844" s="2" t="str">
        <f aca="false">LOWER(M844)</f>
        <v>mwc</v>
      </c>
      <c r="W844" s="5" t="str">
        <f aca="false">IF(COUNTIFS($A$2:$A$1001,A844,$C$2:$C$1001,C844)&gt;1,"Duplicate","Unique")</f>
        <v>Unique</v>
      </c>
    </row>
    <row r="845" customFormat="false" ht="15" hidden="false" customHeight="false" outlineLevel="0" collapsed="false">
      <c r="A845" s="2" t="s">
        <v>2200</v>
      </c>
      <c r="B845" s="3" t="n">
        <v>6.7</v>
      </c>
      <c r="C845" s="2" t="s">
        <v>2201</v>
      </c>
      <c r="D845" s="2" t="n">
        <v>0</v>
      </c>
      <c r="E845" s="2" t="n">
        <v>5</v>
      </c>
      <c r="F845" s="2"/>
      <c r="G845" s="2" t="n">
        <v>0</v>
      </c>
      <c r="H845" s="2" t="n">
        <v>691</v>
      </c>
      <c r="I845" s="2" t="s">
        <v>26</v>
      </c>
      <c r="J845" s="2" t="n">
        <v>352</v>
      </c>
      <c r="K845" s="2" t="n">
        <v>0</v>
      </c>
      <c r="L845" s="2" t="n">
        <v>0</v>
      </c>
      <c r="M845" s="2" t="s">
        <v>131</v>
      </c>
      <c r="N845" s="3" t="n">
        <v>33</v>
      </c>
      <c r="O845" s="3" t="n">
        <v>-4.612</v>
      </c>
      <c r="P845" s="3" t="n">
        <v>101.905</v>
      </c>
      <c r="Q845" s="3" t="s">
        <v>147</v>
      </c>
      <c r="R845" s="2"/>
      <c r="S845" s="2" t="s">
        <v>72</v>
      </c>
      <c r="T845" s="4" t="n">
        <f aca="false">DATE(VALUE(MID(C845,7,4)),VALUE(MID(C845,4,2)),VALUE(MID(C845,1,2)))+TIME(VALUE(MID(C845,12,2)),VALUE(MID(C845,15,2)),0)</f>
        <v>36684.9895833333</v>
      </c>
      <c r="U845" s="2" t="str">
        <f aca="false">IF(AND(ISNUMBER(VALUE(MID(A845,7,1))),ISNUMBER(SEARCH("km",A845)),ISNUMBER(SEARCH("of",A845))),"Distance-location","Named-region")</f>
        <v>Named-region</v>
      </c>
      <c r="V845" s="2" t="str">
        <f aca="false">LOWER(M845)</f>
        <v>mwc</v>
      </c>
      <c r="W845" s="5" t="str">
        <f aca="false">IF(COUNTIFS($A$2:$A$1001,A845,$C$2:$C$1001,C845)&gt;1,"Duplicate","Unique")</f>
        <v>Unique</v>
      </c>
    </row>
    <row r="846" customFormat="false" ht="15" hidden="false" customHeight="false" outlineLevel="0" collapsed="false">
      <c r="A846" s="2" t="s">
        <v>2202</v>
      </c>
      <c r="B846" s="3" t="n">
        <v>6.7</v>
      </c>
      <c r="C846" s="2" t="s">
        <v>2203</v>
      </c>
      <c r="D846" s="2" t="n">
        <v>0</v>
      </c>
      <c r="E846" s="2" t="n">
        <v>5</v>
      </c>
      <c r="F846" s="2"/>
      <c r="G846" s="2" t="n">
        <v>0</v>
      </c>
      <c r="H846" s="2" t="n">
        <v>691</v>
      </c>
      <c r="I846" s="2" t="s">
        <v>26</v>
      </c>
      <c r="J846" s="2" t="n">
        <v>147</v>
      </c>
      <c r="K846" s="2" t="n">
        <v>0</v>
      </c>
      <c r="L846" s="2" t="n">
        <v>0</v>
      </c>
      <c r="M846" s="2" t="s">
        <v>1378</v>
      </c>
      <c r="N846" s="3" t="n">
        <v>33</v>
      </c>
      <c r="O846" s="3" t="n">
        <v>-4.646</v>
      </c>
      <c r="P846" s="3" t="n">
        <v>102.102</v>
      </c>
      <c r="Q846" s="3" t="s">
        <v>147</v>
      </c>
      <c r="R846" s="2"/>
      <c r="S846" s="2" t="s">
        <v>72</v>
      </c>
      <c r="T846" s="4" t="n">
        <f aca="false">DATE(VALUE(MID(C846,7,4)),VALUE(MID(C846,4,2)),VALUE(MID(C846,1,2)))+TIME(VALUE(MID(C846,12,2)),VALUE(MID(C846,15,2)),0)</f>
        <v>36681.69375</v>
      </c>
      <c r="U846" s="2" t="str">
        <f aca="false">IF(AND(ISNUMBER(VALUE(MID(A846,7,1))),ISNUMBER(SEARCH("km",A846)),ISNUMBER(SEARCH("of",A846))),"Distance-location","Named-region")</f>
        <v>Named-region</v>
      </c>
      <c r="V846" s="2" t="str">
        <f aca="false">LOWER(M846)</f>
        <v>mb</v>
      </c>
      <c r="W846" s="5" t="str">
        <f aca="false">IF(COUNTIFS($A$2:$A$1001,A846,$C$2:$C$1001,C846)&gt;1,"Duplicate","Unique")</f>
        <v>Unique</v>
      </c>
    </row>
    <row r="847" customFormat="false" ht="15" hidden="false" customHeight="false" outlineLevel="0" collapsed="false">
      <c r="A847" s="2" t="s">
        <v>2204</v>
      </c>
      <c r="B847" s="3" t="n">
        <v>7.9</v>
      </c>
      <c r="C847" s="2" t="s">
        <v>2205</v>
      </c>
      <c r="D847" s="2" t="n">
        <v>0</v>
      </c>
      <c r="E847" s="2" t="n">
        <v>8</v>
      </c>
      <c r="F847" s="2"/>
      <c r="G847" s="2" t="n">
        <v>0</v>
      </c>
      <c r="H847" s="2" t="n">
        <v>960</v>
      </c>
      <c r="I847" s="2" t="s">
        <v>26</v>
      </c>
      <c r="J847" s="2" t="n">
        <v>379</v>
      </c>
      <c r="K847" s="2" t="n">
        <v>0</v>
      </c>
      <c r="L847" s="2" t="n">
        <v>0</v>
      </c>
      <c r="M847" s="2" t="s">
        <v>131</v>
      </c>
      <c r="N847" s="3" t="n">
        <v>33</v>
      </c>
      <c r="O847" s="3" t="n">
        <v>-4.721</v>
      </c>
      <c r="P847" s="3" t="n">
        <v>102.087</v>
      </c>
      <c r="Q847" s="3" t="s">
        <v>147</v>
      </c>
      <c r="R847" s="2"/>
      <c r="S847" s="2" t="s">
        <v>72</v>
      </c>
      <c r="T847" s="4" t="n">
        <f aca="false">DATE(VALUE(MID(C847,7,4)),VALUE(MID(C847,4,2)),VALUE(MID(C847,1,2)))+TIME(VALUE(MID(C847,12,2)),VALUE(MID(C847,15,2)),0)</f>
        <v>36681.6861111111</v>
      </c>
      <c r="U847" s="2" t="str">
        <f aca="false">IF(AND(ISNUMBER(VALUE(MID(A847,7,1))),ISNUMBER(SEARCH("km",A847)),ISNUMBER(SEARCH("of",A847))),"Distance-location","Named-region")</f>
        <v>Named-region</v>
      </c>
      <c r="V847" s="2" t="str">
        <f aca="false">LOWER(M847)</f>
        <v>mwc</v>
      </c>
      <c r="W847" s="5" t="str">
        <f aca="false">IF(COUNTIFS($A$2:$A$1001,A847,$C$2:$C$1001,C847)&gt;1,"Duplicate","Unique")</f>
        <v>Unique</v>
      </c>
    </row>
    <row r="848" customFormat="false" ht="28.35" hidden="false" customHeight="false" outlineLevel="0" collapsed="false">
      <c r="A848" s="2" t="s">
        <v>2206</v>
      </c>
      <c r="B848" s="3" t="n">
        <v>7.2</v>
      </c>
      <c r="C848" s="2" t="s">
        <v>2207</v>
      </c>
      <c r="D848" s="2" t="n">
        <v>0</v>
      </c>
      <c r="E848" s="2" t="n">
        <v>5</v>
      </c>
      <c r="F848" s="2"/>
      <c r="G848" s="2" t="n">
        <v>0</v>
      </c>
      <c r="H848" s="2" t="n">
        <v>798</v>
      </c>
      <c r="I848" s="2" t="s">
        <v>26</v>
      </c>
      <c r="J848" s="2" t="n">
        <v>0</v>
      </c>
      <c r="K848" s="2" t="n">
        <v>0</v>
      </c>
      <c r="L848" s="2" t="n">
        <v>0</v>
      </c>
      <c r="M848" s="2" t="s">
        <v>131</v>
      </c>
      <c r="N848" s="3" t="n">
        <v>225</v>
      </c>
      <c r="O848" s="3" t="n">
        <v>-23.548</v>
      </c>
      <c r="P848" s="3" t="n">
        <v>-66.452</v>
      </c>
      <c r="Q848" s="3" t="s">
        <v>92</v>
      </c>
      <c r="R848" s="2" t="s">
        <v>37</v>
      </c>
      <c r="S848" s="2" t="s">
        <v>38</v>
      </c>
      <c r="T848" s="4" t="n">
        <f aca="false">DATE(VALUE(MID(C848,7,4)),VALUE(MID(C848,4,2)),VALUE(MID(C848,1,2)))+TIME(VALUE(MID(C848,12,2)),VALUE(MID(C848,15,2)),0)</f>
        <v>36658.7798611111</v>
      </c>
      <c r="U848" s="2" t="str">
        <f aca="false">IF(AND(ISNUMBER(VALUE(MID(A848,7,1))),ISNUMBER(SEARCH("km",A848)),ISNUMBER(SEARCH("of",A848))),"Distance-location","Named-region")</f>
        <v>Named-region</v>
      </c>
      <c r="V848" s="2" t="str">
        <f aca="false">LOWER(M848)</f>
        <v>mwc</v>
      </c>
      <c r="W848" s="5" t="str">
        <f aca="false">IF(COUNTIFS($A$2:$A$1001,A848,$C$2:$C$1001,C848)&gt;1,"Duplicate","Unique")</f>
        <v>Unique</v>
      </c>
    </row>
    <row r="849" customFormat="false" ht="15" hidden="false" customHeight="false" outlineLevel="0" collapsed="false">
      <c r="A849" s="2" t="s">
        <v>2208</v>
      </c>
      <c r="B849" s="3" t="n">
        <v>7.6</v>
      </c>
      <c r="C849" s="2" t="s">
        <v>2209</v>
      </c>
      <c r="D849" s="2" t="n">
        <v>0</v>
      </c>
      <c r="E849" s="2" t="n">
        <v>7</v>
      </c>
      <c r="F849" s="2"/>
      <c r="G849" s="2" t="n">
        <v>0</v>
      </c>
      <c r="H849" s="2" t="n">
        <v>889</v>
      </c>
      <c r="I849" s="2" t="s">
        <v>26</v>
      </c>
      <c r="J849" s="2" t="n">
        <v>0</v>
      </c>
      <c r="K849" s="2" t="n">
        <v>0</v>
      </c>
      <c r="L849" s="2" t="n">
        <v>0</v>
      </c>
      <c r="M849" s="2" t="s">
        <v>131</v>
      </c>
      <c r="N849" s="3" t="n">
        <v>26</v>
      </c>
      <c r="O849" s="3" t="n">
        <v>-1.105</v>
      </c>
      <c r="P849" s="3" t="n">
        <v>123.573</v>
      </c>
      <c r="Q849" s="3" t="s">
        <v>511</v>
      </c>
      <c r="R849" s="2"/>
      <c r="S849" s="2" t="s">
        <v>72</v>
      </c>
      <c r="T849" s="4" t="n">
        <f aca="false">DATE(VALUE(MID(C849,7,4)),VALUE(MID(C849,4,2)),VALUE(MID(C849,1,2)))+TIME(VALUE(MID(C849,12,2)),VALUE(MID(C849,15,2)),0)</f>
        <v>36650.18125</v>
      </c>
      <c r="U849" s="2" t="str">
        <f aca="false">IF(AND(ISNUMBER(VALUE(MID(A849,7,1))),ISNUMBER(SEARCH("km",A849)),ISNUMBER(SEARCH("of",A849))),"Distance-location","Named-region")</f>
        <v>Named-region</v>
      </c>
      <c r="V849" s="2" t="str">
        <f aca="false">LOWER(M849)</f>
        <v>mwc</v>
      </c>
      <c r="W849" s="5" t="str">
        <f aca="false">IF(COUNTIFS($A$2:$A$1001,A849,$C$2:$C$1001,C849)&gt;1,"Duplicate","Unique")</f>
        <v>Unique</v>
      </c>
    </row>
    <row r="850" customFormat="false" ht="15" hidden="false" customHeight="false" outlineLevel="0" collapsed="false">
      <c r="A850" s="2" t="s">
        <v>2210</v>
      </c>
      <c r="B850" s="3" t="n">
        <v>6.6</v>
      </c>
      <c r="C850" s="2" t="s">
        <v>2211</v>
      </c>
      <c r="D850" s="2" t="n">
        <v>0</v>
      </c>
      <c r="E850" s="2" t="n">
        <v>8</v>
      </c>
      <c r="F850" s="2"/>
      <c r="G850" s="2" t="n">
        <v>0</v>
      </c>
      <c r="H850" s="2" t="n">
        <v>670</v>
      </c>
      <c r="I850" s="2" t="s">
        <v>26</v>
      </c>
      <c r="J850" s="2" t="n">
        <v>0</v>
      </c>
      <c r="K850" s="2" t="n">
        <v>0</v>
      </c>
      <c r="L850" s="2" t="n">
        <v>0</v>
      </c>
      <c r="M850" s="2" t="s">
        <v>131</v>
      </c>
      <c r="N850" s="3" t="n">
        <v>10</v>
      </c>
      <c r="O850" s="3" t="n">
        <v>-6.817</v>
      </c>
      <c r="P850" s="3" t="n">
        <v>143.807</v>
      </c>
      <c r="Q850" s="3" t="s">
        <v>2212</v>
      </c>
      <c r="R850" s="2"/>
      <c r="S850" s="2" t="s">
        <v>89</v>
      </c>
      <c r="T850" s="4" t="n">
        <f aca="false">DATE(VALUE(MID(C850,7,4)),VALUE(MID(C850,4,2)),VALUE(MID(C850,1,2)))+TIME(VALUE(MID(C850,12,2)),VALUE(MID(C850,15,2)),0)</f>
        <v>36588.9319444444</v>
      </c>
      <c r="U850" s="2" t="str">
        <f aca="false">IF(AND(ISNUMBER(VALUE(MID(A850,7,1))),ISNUMBER(SEARCH("km",A850)),ISNUMBER(SEARCH("of",A850))),"Distance-location","Named-region")</f>
        <v>Named-region</v>
      </c>
      <c r="V850" s="2" t="str">
        <f aca="false">LOWER(M850)</f>
        <v>mwc</v>
      </c>
      <c r="W850" s="5" t="str">
        <f aca="false">IF(COUNTIFS($A$2:$A$1001,A850,$C$2:$C$1001,C850)&gt;1,"Duplicate","Unique")</f>
        <v>Unique</v>
      </c>
    </row>
    <row r="851" customFormat="false" ht="15" hidden="false" customHeight="false" outlineLevel="0" collapsed="false">
      <c r="A851" s="2" t="s">
        <v>2213</v>
      </c>
      <c r="B851" s="3" t="n">
        <v>6.6</v>
      </c>
      <c r="C851" s="2" t="s">
        <v>2214</v>
      </c>
      <c r="D851" s="2" t="n">
        <v>0</v>
      </c>
      <c r="E851" s="2" t="n">
        <v>6</v>
      </c>
      <c r="F851" s="2"/>
      <c r="G851" s="2" t="n">
        <v>0</v>
      </c>
      <c r="H851" s="2" t="n">
        <v>670</v>
      </c>
      <c r="I851" s="2" t="s">
        <v>26</v>
      </c>
      <c r="J851" s="2" t="n">
        <v>0</v>
      </c>
      <c r="K851" s="2" t="n">
        <v>0</v>
      </c>
      <c r="L851" s="2" t="n">
        <v>0</v>
      </c>
      <c r="M851" s="2" t="s">
        <v>131</v>
      </c>
      <c r="N851" s="3" t="n">
        <v>33</v>
      </c>
      <c r="O851" s="3" t="n">
        <v>-5.844</v>
      </c>
      <c r="P851" s="3" t="n">
        <v>150.876</v>
      </c>
      <c r="Q851" s="3" t="s">
        <v>111</v>
      </c>
      <c r="R851" s="2"/>
      <c r="S851" s="2" t="s">
        <v>89</v>
      </c>
      <c r="T851" s="4" t="n">
        <f aca="false">DATE(VALUE(MID(C851,7,4)),VALUE(MID(C851,4,2)),VALUE(MID(C851,1,2)))+TIME(VALUE(MID(C851,12,2)),VALUE(MID(C851,15,2)),0)</f>
        <v>36562.48125</v>
      </c>
      <c r="U851" s="2" t="str">
        <f aca="false">IF(AND(ISNUMBER(VALUE(MID(A851,7,1))),ISNUMBER(SEARCH("km",A851)),ISNUMBER(SEARCH("of",A851))),"Distance-location","Named-region")</f>
        <v>Named-region</v>
      </c>
      <c r="V851" s="2" t="str">
        <f aca="false">LOWER(M851)</f>
        <v>mwc</v>
      </c>
      <c r="W851" s="5" t="str">
        <f aca="false">IF(COUNTIFS($A$2:$A$1001,A851,$C$2:$C$1001,C851)&gt;1,"Duplicate","Unique")</f>
        <v>Unique</v>
      </c>
    </row>
    <row r="852" customFormat="false" ht="15" hidden="false" customHeight="false" outlineLevel="0" collapsed="false">
      <c r="A852" s="2" t="s">
        <v>2215</v>
      </c>
      <c r="B852" s="3" t="n">
        <v>6.8</v>
      </c>
      <c r="C852" s="2" t="s">
        <v>2216</v>
      </c>
      <c r="D852" s="2" t="n">
        <v>0</v>
      </c>
      <c r="E852" s="2" t="n">
        <v>6</v>
      </c>
      <c r="F852" s="2"/>
      <c r="G852" s="2" t="n">
        <v>0</v>
      </c>
      <c r="H852" s="2" t="n">
        <v>711</v>
      </c>
      <c r="I852" s="2" t="s">
        <v>26</v>
      </c>
      <c r="J852" s="2" t="n">
        <v>0</v>
      </c>
      <c r="K852" s="2" t="n">
        <v>0</v>
      </c>
      <c r="L852" s="2" t="n">
        <v>0</v>
      </c>
      <c r="M852" s="2" t="s">
        <v>131</v>
      </c>
      <c r="N852" s="3" t="n">
        <v>61.1</v>
      </c>
      <c r="O852" s="3" t="n">
        <v>43.046</v>
      </c>
      <c r="P852" s="3" t="n">
        <v>146.837</v>
      </c>
      <c r="Q852" s="3" t="s">
        <v>2217</v>
      </c>
      <c r="R852" s="2"/>
      <c r="S852" s="2"/>
      <c r="T852" s="4" t="n">
        <f aca="false">DATE(VALUE(MID(C852,7,4)),VALUE(MID(C852,4,2)),VALUE(MID(C852,1,2)))+TIME(VALUE(MID(C852,12,2)),VALUE(MID(C852,15,2)),0)</f>
        <v>36553.5979166667</v>
      </c>
      <c r="U852" s="2" t="str">
        <f aca="false">IF(AND(ISNUMBER(VALUE(MID(A852,7,1))),ISNUMBER(SEARCH("km",A852)),ISNUMBER(SEARCH("of",A852))),"Distance-location","Named-region")</f>
        <v>Named-region</v>
      </c>
      <c r="V852" s="2" t="str">
        <f aca="false">LOWER(M852)</f>
        <v>mwc</v>
      </c>
      <c r="W852" s="5" t="str">
        <f aca="false">IF(COUNTIFS($A$2:$A$1001,A852,$C$2:$C$1001,C852)&gt;1,"Duplicate","Unique")</f>
        <v>Unique</v>
      </c>
    </row>
    <row r="853" customFormat="false" ht="15" hidden="false" customHeight="false" outlineLevel="0" collapsed="false">
      <c r="A853" s="2" t="s">
        <v>2218</v>
      </c>
      <c r="B853" s="3" t="n">
        <v>7.2</v>
      </c>
      <c r="C853" s="2" t="s">
        <v>2219</v>
      </c>
      <c r="D853" s="2" t="n">
        <v>0</v>
      </c>
      <c r="E853" s="2" t="n">
        <v>6</v>
      </c>
      <c r="F853" s="2"/>
      <c r="G853" s="2" t="n">
        <v>0</v>
      </c>
      <c r="H853" s="2" t="n">
        <v>798</v>
      </c>
      <c r="I853" s="2" t="s">
        <v>26</v>
      </c>
      <c r="J853" s="2" t="n">
        <v>0</v>
      </c>
      <c r="K853" s="2" t="n">
        <v>0</v>
      </c>
      <c r="L853" s="2" t="n">
        <v>0</v>
      </c>
      <c r="M853" s="2" t="s">
        <v>131</v>
      </c>
      <c r="N853" s="3" t="n">
        <v>183.4</v>
      </c>
      <c r="O853" s="3" t="n">
        <v>-16.925</v>
      </c>
      <c r="P853" s="3" t="n">
        <v>-174.248</v>
      </c>
      <c r="Q853" s="3" t="s">
        <v>66</v>
      </c>
      <c r="R853" s="2"/>
      <c r="S853" s="2"/>
      <c r="T853" s="4" t="n">
        <f aca="false">DATE(VALUE(MID(C853,7,4)),VALUE(MID(C853,4,2)),VALUE(MID(C853,1,2)))+TIME(VALUE(MID(C853,12,2)),VALUE(MID(C853,15,2)),0)</f>
        <v>36533.6993055556</v>
      </c>
      <c r="U853" s="2" t="str">
        <f aca="false">IF(AND(ISNUMBER(VALUE(MID(A853,7,1))),ISNUMBER(SEARCH("km",A853)),ISNUMBER(SEARCH("of",A853))),"Distance-location","Named-region")</f>
        <v>Named-region</v>
      </c>
      <c r="V853" s="2" t="str">
        <f aca="false">LOWER(M853)</f>
        <v>mwc</v>
      </c>
      <c r="W853" s="5" t="str">
        <f aca="false">IF(COUNTIFS($A$2:$A$1001,A853,$C$2:$C$1001,C853)&gt;1,"Duplicate","Unique")</f>
        <v>Unique</v>
      </c>
    </row>
    <row r="854" customFormat="false" ht="15" hidden="false" customHeight="false" outlineLevel="0" collapsed="false">
      <c r="A854" s="2" t="s">
        <v>2220</v>
      </c>
      <c r="B854" s="3" t="n">
        <v>6.9</v>
      </c>
      <c r="C854" s="2" t="s">
        <v>2221</v>
      </c>
      <c r="D854" s="2" t="n">
        <v>0</v>
      </c>
      <c r="E854" s="2" t="n">
        <v>6</v>
      </c>
      <c r="F854" s="2"/>
      <c r="G854" s="2" t="n">
        <v>0</v>
      </c>
      <c r="H854" s="2" t="n">
        <v>732</v>
      </c>
      <c r="I854" s="2" t="s">
        <v>26</v>
      </c>
      <c r="J854" s="2" t="n">
        <v>0</v>
      </c>
      <c r="K854" s="2" t="n">
        <v>0</v>
      </c>
      <c r="L854" s="2" t="n">
        <v>0</v>
      </c>
      <c r="M854" s="2" t="s">
        <v>158</v>
      </c>
      <c r="N854" s="3" t="n">
        <v>33</v>
      </c>
      <c r="O854" s="3" t="n">
        <v>-10.86</v>
      </c>
      <c r="P854" s="3" t="n">
        <v>165.354</v>
      </c>
      <c r="Q854" s="3" t="s">
        <v>416</v>
      </c>
      <c r="R854" s="2"/>
      <c r="S854" s="2"/>
      <c r="T854" s="4" t="n">
        <f aca="false">DATE(VALUE(MID(C854,7,4)),VALUE(MID(C854,4,2)),VALUE(MID(C854,1,2)))+TIME(VALUE(MID(C854,12,2)),VALUE(MID(C854,15,2)),0)</f>
        <v>36523.5618055556</v>
      </c>
      <c r="U854" s="2" t="str">
        <f aca="false">IF(AND(ISNUMBER(VALUE(MID(A854,7,1))),ISNUMBER(SEARCH("km",A854)),ISNUMBER(SEARCH("of",A854))),"Distance-location","Named-region")</f>
        <v>Named-region</v>
      </c>
      <c r="V854" s="2" t="str">
        <f aca="false">LOWER(M854)</f>
        <v>mwb</v>
      </c>
      <c r="W854" s="5" t="str">
        <f aca="false">IF(COUNTIFS($A$2:$A$1001,A854,$C$2:$C$1001,C854)&gt;1,"Duplicate","Unique")</f>
        <v>Unique</v>
      </c>
    </row>
    <row r="855" customFormat="false" ht="15" hidden="false" customHeight="false" outlineLevel="0" collapsed="false">
      <c r="A855" s="2" t="s">
        <v>2222</v>
      </c>
      <c r="B855" s="3" t="n">
        <v>6.5</v>
      </c>
      <c r="C855" s="2" t="s">
        <v>2223</v>
      </c>
      <c r="D855" s="2" t="n">
        <v>0</v>
      </c>
      <c r="E855" s="2" t="n">
        <v>6</v>
      </c>
      <c r="F855" s="2"/>
      <c r="G855" s="2" t="n">
        <v>0</v>
      </c>
      <c r="H855" s="2" t="n">
        <v>650</v>
      </c>
      <c r="I855" s="2" t="s">
        <v>26</v>
      </c>
      <c r="J855" s="2" t="n">
        <v>0</v>
      </c>
      <c r="K855" s="2" t="n">
        <v>0</v>
      </c>
      <c r="L855" s="2" t="n">
        <v>0</v>
      </c>
      <c r="M855" s="2" t="s">
        <v>158</v>
      </c>
      <c r="N855" s="3" t="n">
        <v>56</v>
      </c>
      <c r="O855" s="3" t="n">
        <v>-6.845</v>
      </c>
      <c r="P855" s="3" t="n">
        <v>105.555</v>
      </c>
      <c r="Q855" s="3" t="s">
        <v>235</v>
      </c>
      <c r="R855" s="2"/>
      <c r="S855" s="2" t="s">
        <v>72</v>
      </c>
      <c r="T855" s="4" t="n">
        <f aca="false">DATE(VALUE(MID(C855,7,4)),VALUE(MID(C855,4,2)),VALUE(MID(C855,1,2)))+TIME(VALUE(MID(C855,12,2)),VALUE(MID(C855,15,2)),0)</f>
        <v>36515.5930555556</v>
      </c>
      <c r="U855" s="2" t="str">
        <f aca="false">IF(AND(ISNUMBER(VALUE(MID(A855,7,1))),ISNUMBER(SEARCH("km",A855)),ISNUMBER(SEARCH("of",A855))),"Distance-location","Named-region")</f>
        <v>Named-region</v>
      </c>
      <c r="V855" s="2" t="str">
        <f aca="false">LOWER(M855)</f>
        <v>mwb</v>
      </c>
      <c r="W855" s="5" t="str">
        <f aca="false">IF(COUNTIFS($A$2:$A$1001,A855,$C$2:$C$1001,C855)&gt;1,"Duplicate","Unique")</f>
        <v>Unique</v>
      </c>
    </row>
    <row r="856" customFormat="false" ht="15" hidden="false" customHeight="false" outlineLevel="0" collapsed="false">
      <c r="A856" s="2" t="s">
        <v>2224</v>
      </c>
      <c r="B856" s="3" t="n">
        <v>7.3</v>
      </c>
      <c r="C856" s="2" t="s">
        <v>2225</v>
      </c>
      <c r="D856" s="2" t="n">
        <v>0</v>
      </c>
      <c r="E856" s="2" t="n">
        <v>7</v>
      </c>
      <c r="F856" s="2"/>
      <c r="G856" s="2" t="n">
        <v>0</v>
      </c>
      <c r="H856" s="2" t="n">
        <v>820</v>
      </c>
      <c r="I856" s="2" t="s">
        <v>26</v>
      </c>
      <c r="J856" s="2" t="n">
        <v>0</v>
      </c>
      <c r="K856" s="2" t="n">
        <v>0</v>
      </c>
      <c r="L856" s="2" t="n">
        <v>0</v>
      </c>
      <c r="M856" s="2" t="s">
        <v>131</v>
      </c>
      <c r="N856" s="3" t="n">
        <v>33</v>
      </c>
      <c r="O856" s="3" t="n">
        <v>15.766</v>
      </c>
      <c r="P856" s="3" t="n">
        <v>119.74</v>
      </c>
      <c r="Q856" s="3" t="s">
        <v>2226</v>
      </c>
      <c r="R856" s="2"/>
      <c r="S856" s="2" t="s">
        <v>195</v>
      </c>
      <c r="T856" s="4" t="n">
        <f aca="false">DATE(VALUE(MID(C856,7,4)),VALUE(MID(C856,4,2)),VALUE(MID(C856,1,2)))+TIME(VALUE(MID(C856,12,2)),VALUE(MID(C856,15,2)),0)</f>
        <v>36505.7520833333</v>
      </c>
      <c r="U856" s="2" t="str">
        <f aca="false">IF(AND(ISNUMBER(VALUE(MID(A856,7,1))),ISNUMBER(SEARCH("km",A856)),ISNUMBER(SEARCH("of",A856))),"Distance-location","Named-region")</f>
        <v>Named-region</v>
      </c>
      <c r="V856" s="2" t="str">
        <f aca="false">LOWER(M856)</f>
        <v>mwc</v>
      </c>
      <c r="W856" s="5" t="str">
        <f aca="false">IF(COUNTIFS($A$2:$A$1001,A856,$C$2:$C$1001,C856)&gt;1,"Duplicate","Unique")</f>
        <v>Unique</v>
      </c>
    </row>
    <row r="857" customFormat="false" ht="15" hidden="false" customHeight="false" outlineLevel="0" collapsed="false">
      <c r="A857" s="2" t="s">
        <v>2227</v>
      </c>
      <c r="B857" s="3" t="n">
        <v>7</v>
      </c>
      <c r="C857" s="2" t="s">
        <v>2228</v>
      </c>
      <c r="D857" s="2" t="n">
        <v>0</v>
      </c>
      <c r="E857" s="2" t="n">
        <v>7</v>
      </c>
      <c r="F857" s="2"/>
      <c r="G857" s="2" t="n">
        <v>0</v>
      </c>
      <c r="H857" s="2" t="n">
        <v>754</v>
      </c>
      <c r="I857" s="2" t="s">
        <v>263</v>
      </c>
      <c r="J857" s="2" t="n">
        <v>0</v>
      </c>
      <c r="K857" s="2" t="n">
        <v>0</v>
      </c>
      <c r="L857" s="2" t="n">
        <v>0</v>
      </c>
      <c r="M857" s="2" t="s">
        <v>489</v>
      </c>
      <c r="N857" s="3" t="n">
        <v>43.6</v>
      </c>
      <c r="O857" s="3" t="n">
        <v>57.3424</v>
      </c>
      <c r="P857" s="3" t="n">
        <v>-154.347</v>
      </c>
      <c r="Q857" s="3" t="s">
        <v>2229</v>
      </c>
      <c r="R857" s="2" t="s">
        <v>168</v>
      </c>
      <c r="S857" s="2" t="s">
        <v>265</v>
      </c>
      <c r="T857" s="4" t="n">
        <f aca="false">DATE(VALUE(MID(C857,7,4)),VALUE(MID(C857,4,2)),VALUE(MID(C857,1,2)))+TIME(VALUE(MID(C857,12,2)),VALUE(MID(C857,15,2)),0)</f>
        <v>36500.9666666667</v>
      </c>
      <c r="U857" s="2" t="str">
        <f aca="false">IF(AND(ISNUMBER(VALUE(MID(A857,7,1))),ISNUMBER(SEARCH("km",A857)),ISNUMBER(SEARCH("of",A857))),"Distance-location","Named-region")</f>
        <v>Named-region</v>
      </c>
      <c r="V857" s="2" t="str">
        <f aca="false">LOWER(M857)</f>
        <v>mw</v>
      </c>
      <c r="W857" s="5" t="str">
        <f aca="false">IF(COUNTIFS($A$2:$A$1001,A857,$C$2:$C$1001,C857)&gt;1,"Duplicate","Unique")</f>
        <v>Unique</v>
      </c>
    </row>
    <row r="858" customFormat="false" ht="15" hidden="false" customHeight="false" outlineLevel="0" collapsed="false">
      <c r="A858" s="2" t="s">
        <v>2230</v>
      </c>
      <c r="B858" s="3" t="n">
        <v>6.6</v>
      </c>
      <c r="C858" s="2" t="s">
        <v>2231</v>
      </c>
      <c r="D858" s="2" t="n">
        <v>0</v>
      </c>
      <c r="E858" s="2" t="n">
        <v>5</v>
      </c>
      <c r="F858" s="2"/>
      <c r="G858" s="2" t="n">
        <v>0</v>
      </c>
      <c r="H858" s="2" t="n">
        <v>670</v>
      </c>
      <c r="I858" s="2" t="s">
        <v>26</v>
      </c>
      <c r="J858" s="2" t="n">
        <v>0</v>
      </c>
      <c r="K858" s="2" t="n">
        <v>0</v>
      </c>
      <c r="L858" s="2" t="n">
        <v>0</v>
      </c>
      <c r="M858" s="2" t="s">
        <v>158</v>
      </c>
      <c r="N858" s="3" t="n">
        <v>128.1</v>
      </c>
      <c r="O858" s="3" t="n">
        <v>-18.901</v>
      </c>
      <c r="P858" s="3" t="n">
        <v>-69.171</v>
      </c>
      <c r="Q858" s="3" t="s">
        <v>2232</v>
      </c>
      <c r="R858" s="2" t="s">
        <v>37</v>
      </c>
      <c r="S858" s="2" t="s">
        <v>377</v>
      </c>
      <c r="T858" s="4" t="n">
        <f aca="false">DATE(VALUE(MID(C858,7,4)),VALUE(MID(C858,4,2)),VALUE(MID(C858,1,2)))+TIME(VALUE(MID(C858,12,2)),VALUE(MID(C858,15,2)),0)</f>
        <v>36494.1673611111</v>
      </c>
      <c r="U858" s="2" t="str">
        <f aca="false">IF(AND(ISNUMBER(VALUE(MID(A858,7,1))),ISNUMBER(SEARCH("km",A858)),ISNUMBER(SEARCH("of",A858))),"Distance-location","Named-region")</f>
        <v>Named-region</v>
      </c>
      <c r="V858" s="2" t="str">
        <f aca="false">LOWER(M858)</f>
        <v>mwb</v>
      </c>
      <c r="W858" s="5" t="str">
        <f aca="false">IF(COUNTIFS($A$2:$A$1001,A858,$C$2:$C$1001,C858)&gt;1,"Duplicate","Unique")</f>
        <v>Unique</v>
      </c>
    </row>
    <row r="859" customFormat="false" ht="15" hidden="false" customHeight="false" outlineLevel="0" collapsed="false">
      <c r="A859" s="2" t="s">
        <v>2233</v>
      </c>
      <c r="B859" s="3" t="n">
        <v>7.5</v>
      </c>
      <c r="C859" s="2" t="s">
        <v>2234</v>
      </c>
      <c r="D859" s="2" t="n">
        <v>0</v>
      </c>
      <c r="E859" s="2" t="n">
        <v>7</v>
      </c>
      <c r="F859" s="2"/>
      <c r="G859" s="2" t="n">
        <v>0</v>
      </c>
      <c r="H859" s="2" t="n">
        <v>865</v>
      </c>
      <c r="I859" s="2" t="s">
        <v>26</v>
      </c>
      <c r="J859" s="2" t="n">
        <v>0</v>
      </c>
      <c r="K859" s="2" t="n">
        <v>0</v>
      </c>
      <c r="L859" s="2" t="n">
        <v>0</v>
      </c>
      <c r="M859" s="2" t="s">
        <v>131</v>
      </c>
      <c r="N859" s="3" t="n">
        <v>33</v>
      </c>
      <c r="O859" s="3" t="n">
        <v>-16.423</v>
      </c>
      <c r="P859" s="3" t="n">
        <v>168.214</v>
      </c>
      <c r="Q859" s="3" t="s">
        <v>476</v>
      </c>
      <c r="R859" s="2"/>
      <c r="S859" s="2" t="s">
        <v>29</v>
      </c>
      <c r="T859" s="4" t="n">
        <f aca="false">DATE(VALUE(MID(C859,7,4)),VALUE(MID(C859,4,2)),VALUE(MID(C859,1,2)))+TIME(VALUE(MID(C859,12,2)),VALUE(MID(C859,15,2)),0)</f>
        <v>36490.55625</v>
      </c>
      <c r="U859" s="2" t="str">
        <f aca="false">IF(AND(ISNUMBER(VALUE(MID(A859,7,1))),ISNUMBER(SEARCH("km",A859)),ISNUMBER(SEARCH("of",A859))),"Distance-location","Named-region")</f>
        <v>Named-region</v>
      </c>
      <c r="V859" s="2" t="str">
        <f aca="false">LOWER(M859)</f>
        <v>mwc</v>
      </c>
      <c r="W859" s="5" t="str">
        <f aca="false">IF(COUNTIFS($A$2:$A$1001,A859,$C$2:$C$1001,C859)&gt;1,"Duplicate","Unique")</f>
        <v>Unique</v>
      </c>
    </row>
    <row r="860" customFormat="false" ht="15" hidden="false" customHeight="false" outlineLevel="0" collapsed="false">
      <c r="A860" s="2" t="s">
        <v>2235</v>
      </c>
      <c r="B860" s="3" t="n">
        <v>7</v>
      </c>
      <c r="C860" s="2" t="s">
        <v>2236</v>
      </c>
      <c r="D860" s="2" t="n">
        <v>0</v>
      </c>
      <c r="E860" s="2" t="n">
        <v>6</v>
      </c>
      <c r="F860" s="2"/>
      <c r="G860" s="2" t="n">
        <v>0</v>
      </c>
      <c r="H860" s="2" t="n">
        <v>754</v>
      </c>
      <c r="I860" s="2" t="s">
        <v>26</v>
      </c>
      <c r="J860" s="2" t="n">
        <v>0</v>
      </c>
      <c r="K860" s="2" t="n">
        <v>0</v>
      </c>
      <c r="L860" s="2" t="n">
        <v>0</v>
      </c>
      <c r="M860" s="2" t="s">
        <v>131</v>
      </c>
      <c r="N860" s="3" t="n">
        <v>33</v>
      </c>
      <c r="O860" s="3" t="n">
        <v>-6.351</v>
      </c>
      <c r="P860" s="3" t="n">
        <v>148.763</v>
      </c>
      <c r="Q860" s="3" t="s">
        <v>793</v>
      </c>
      <c r="R860" s="2"/>
      <c r="S860" s="2" t="s">
        <v>89</v>
      </c>
      <c r="T860" s="4" t="n">
        <f aca="false">DATE(VALUE(MID(C860,7,4)),VALUE(MID(C860,4,2)),VALUE(MID(C860,1,2)))+TIME(VALUE(MID(C860,12,2)),VALUE(MID(C860,15,2)),0)</f>
        <v>36483.5805555556</v>
      </c>
      <c r="U860" s="2" t="str">
        <f aca="false">IF(AND(ISNUMBER(VALUE(MID(A860,7,1))),ISNUMBER(SEARCH("km",A860)),ISNUMBER(SEARCH("of",A860))),"Distance-location","Named-region")</f>
        <v>Named-region</v>
      </c>
      <c r="V860" s="2" t="str">
        <f aca="false">LOWER(M860)</f>
        <v>mwc</v>
      </c>
      <c r="W860" s="5" t="str">
        <f aca="false">IF(COUNTIFS($A$2:$A$1001,A860,$C$2:$C$1001,C860)&gt;1,"Duplicate","Unique")</f>
        <v>Unique</v>
      </c>
    </row>
    <row r="861" customFormat="false" ht="15" hidden="false" customHeight="false" outlineLevel="0" collapsed="false">
      <c r="A861" s="2" t="s">
        <v>2237</v>
      </c>
      <c r="B861" s="3" t="n">
        <v>6.9</v>
      </c>
      <c r="C861" s="2" t="s">
        <v>2238</v>
      </c>
      <c r="D861" s="2" t="n">
        <v>0</v>
      </c>
      <c r="E861" s="2" t="n">
        <v>6</v>
      </c>
      <c r="F861" s="2"/>
      <c r="G861" s="2" t="n">
        <v>0</v>
      </c>
      <c r="H861" s="2" t="n">
        <v>732</v>
      </c>
      <c r="I861" s="2" t="s">
        <v>26</v>
      </c>
      <c r="J861" s="2" t="n">
        <v>0</v>
      </c>
      <c r="K861" s="2" t="n">
        <v>0</v>
      </c>
      <c r="L861" s="2" t="n">
        <v>0</v>
      </c>
      <c r="M861" s="2" t="s">
        <v>131</v>
      </c>
      <c r="N861" s="3" t="n">
        <v>47.5</v>
      </c>
      <c r="O861" s="3" t="n">
        <v>-5.978</v>
      </c>
      <c r="P861" s="3" t="n">
        <v>148.82</v>
      </c>
      <c r="Q861" s="3" t="s">
        <v>793</v>
      </c>
      <c r="R861" s="2"/>
      <c r="S861" s="2" t="s">
        <v>89</v>
      </c>
      <c r="T861" s="4" t="n">
        <f aca="false">DATE(VALUE(MID(C861,7,4)),VALUE(MID(C861,4,2)),VALUE(MID(C861,1,2)))+TIME(VALUE(MID(C861,12,2)),VALUE(MID(C861,15,2)),0)</f>
        <v>36481.14375</v>
      </c>
      <c r="U861" s="2" t="str">
        <f aca="false">IF(AND(ISNUMBER(VALUE(MID(A861,7,1))),ISNUMBER(SEARCH("km",A861)),ISNUMBER(SEARCH("of",A861))),"Distance-location","Named-region")</f>
        <v>Named-region</v>
      </c>
      <c r="V861" s="2" t="str">
        <f aca="false">LOWER(M861)</f>
        <v>mwc</v>
      </c>
      <c r="W861" s="5" t="str">
        <f aca="false">IF(COUNTIFS($A$2:$A$1001,A861,$C$2:$C$1001,C861)&gt;1,"Duplicate","Unique")</f>
        <v>Unique</v>
      </c>
    </row>
    <row r="862" customFormat="false" ht="15" hidden="false" customHeight="false" outlineLevel="0" collapsed="false">
      <c r="A862" s="2" t="s">
        <v>2239</v>
      </c>
      <c r="B862" s="3" t="n">
        <v>7.2</v>
      </c>
      <c r="C862" s="2" t="s">
        <v>2240</v>
      </c>
      <c r="D862" s="2" t="n">
        <v>0</v>
      </c>
      <c r="E862" s="2" t="n">
        <v>9</v>
      </c>
      <c r="F862" s="2"/>
      <c r="G862" s="2" t="n">
        <v>0</v>
      </c>
      <c r="H862" s="2" t="n">
        <v>798</v>
      </c>
      <c r="I862" s="2" t="s">
        <v>26</v>
      </c>
      <c r="J862" s="2" t="n">
        <v>0</v>
      </c>
      <c r="K862" s="2" t="n">
        <v>0</v>
      </c>
      <c r="L862" s="2" t="n">
        <v>0</v>
      </c>
      <c r="M862" s="2" t="s">
        <v>131</v>
      </c>
      <c r="N862" s="3" t="n">
        <v>10</v>
      </c>
      <c r="O862" s="3" t="n">
        <v>40.758</v>
      </c>
      <c r="P862" s="3" t="n">
        <v>31.161</v>
      </c>
      <c r="Q862" s="3" t="s">
        <v>2241</v>
      </c>
      <c r="R862" s="2" t="s">
        <v>84</v>
      </c>
      <c r="S862" s="2" t="s">
        <v>439</v>
      </c>
      <c r="T862" s="4" t="n">
        <f aca="false">DATE(VALUE(MID(C862,7,4)),VALUE(MID(C862,4,2)),VALUE(MID(C862,1,2)))+TIME(VALUE(MID(C862,12,2)),VALUE(MID(C862,15,2)),0)</f>
        <v>36476.70625</v>
      </c>
      <c r="U862" s="2" t="str">
        <f aca="false">IF(AND(ISNUMBER(VALUE(MID(A862,7,1))),ISNUMBER(SEARCH("km",A862)),ISNUMBER(SEARCH("of",A862))),"Distance-location","Named-region")</f>
        <v>Named-region</v>
      </c>
      <c r="V862" s="2" t="str">
        <f aca="false">LOWER(M862)</f>
        <v>mwc</v>
      </c>
      <c r="W862" s="5" t="str">
        <f aca="false">IF(COUNTIFS($A$2:$A$1001,A862,$C$2:$C$1001,C862)&gt;1,"Duplicate","Unique")</f>
        <v>Unique</v>
      </c>
    </row>
    <row r="863" customFormat="false" ht="15" hidden="false" customHeight="false" outlineLevel="0" collapsed="false">
      <c r="A863" s="2" t="s">
        <v>2242</v>
      </c>
      <c r="B863" s="3" t="n">
        <v>6.5</v>
      </c>
      <c r="C863" s="2" t="s">
        <v>2243</v>
      </c>
      <c r="D863" s="2" t="n">
        <v>0</v>
      </c>
      <c r="E863" s="2" t="n">
        <v>4</v>
      </c>
      <c r="F863" s="2"/>
      <c r="G863" s="2" t="n">
        <v>0</v>
      </c>
      <c r="H863" s="2" t="n">
        <v>650</v>
      </c>
      <c r="I863" s="2" t="s">
        <v>26</v>
      </c>
      <c r="J863" s="2" t="n">
        <v>0</v>
      </c>
      <c r="K863" s="2" t="n">
        <v>0</v>
      </c>
      <c r="L863" s="2" t="n">
        <v>0</v>
      </c>
      <c r="M863" s="2" t="s">
        <v>131</v>
      </c>
      <c r="N863" s="3" t="n">
        <v>228.4</v>
      </c>
      <c r="O863" s="3" t="n">
        <v>36.522</v>
      </c>
      <c r="P863" s="3" t="n">
        <v>71.24</v>
      </c>
      <c r="Q863" s="3" t="s">
        <v>836</v>
      </c>
      <c r="R863" s="2" t="s">
        <v>84</v>
      </c>
      <c r="S863" s="2" t="s">
        <v>96</v>
      </c>
      <c r="T863" s="4" t="n">
        <f aca="false">DATE(VALUE(MID(C863,7,4)),VALUE(MID(C863,4,2)),VALUE(MID(C863,1,2)))+TIME(VALUE(MID(C863,12,2)),VALUE(MID(C863,15,2)),0)</f>
        <v>36472.6979166667</v>
      </c>
      <c r="U863" s="2" t="str">
        <f aca="false">IF(AND(ISNUMBER(VALUE(MID(A863,7,1))),ISNUMBER(SEARCH("km",A863)),ISNUMBER(SEARCH("of",A863))),"Distance-location","Named-region")</f>
        <v>Named-region</v>
      </c>
      <c r="V863" s="2" t="str">
        <f aca="false">LOWER(M863)</f>
        <v>mwc</v>
      </c>
      <c r="W863" s="5" t="str">
        <f aca="false">IF(COUNTIFS($A$2:$A$1001,A863,$C$2:$C$1001,C863)&gt;1,"Duplicate","Unique")</f>
        <v>Unique</v>
      </c>
    </row>
    <row r="864" customFormat="false" ht="15" hidden="false" customHeight="false" outlineLevel="0" collapsed="false">
      <c r="A864" s="2" t="s">
        <v>2244</v>
      </c>
      <c r="B864" s="3" t="n">
        <v>7.1</v>
      </c>
      <c r="C864" s="2" t="s">
        <v>2245</v>
      </c>
      <c r="D864" s="2" t="n">
        <v>8</v>
      </c>
      <c r="E864" s="2" t="n">
        <v>8</v>
      </c>
      <c r="F864" s="2"/>
      <c r="G864" s="2" t="n">
        <v>0</v>
      </c>
      <c r="H864" s="2" t="n">
        <v>1576</v>
      </c>
      <c r="I864" s="2" t="s">
        <v>488</v>
      </c>
      <c r="J864" s="2" t="n">
        <v>73</v>
      </c>
      <c r="K864" s="2" t="n">
        <v>0</v>
      </c>
      <c r="L864" s="2" t="n">
        <v>57</v>
      </c>
      <c r="M864" s="2" t="s">
        <v>489</v>
      </c>
      <c r="N864" s="3" t="n">
        <v>13.73</v>
      </c>
      <c r="O864" s="3" t="n">
        <v>34.6033</v>
      </c>
      <c r="P864" s="3" t="n">
        <v>-116.265</v>
      </c>
      <c r="Q864" s="3" t="s">
        <v>2246</v>
      </c>
      <c r="R864" s="2" t="s">
        <v>168</v>
      </c>
      <c r="S864" s="2" t="s">
        <v>265</v>
      </c>
      <c r="T864" s="4" t="n">
        <f aca="false">DATE(VALUE(MID(C864,7,4)),VALUE(MID(C864,4,2)),VALUE(MID(C864,1,2)))+TIME(VALUE(MID(C864,12,2)),VALUE(MID(C864,15,2)),0)</f>
        <v>36449.4069444445</v>
      </c>
      <c r="U864" s="2" t="str">
        <f aca="false">IF(AND(ISNUMBER(VALUE(MID(A864,7,1))),ISNUMBER(SEARCH("km",A864)),ISNUMBER(SEARCH("of",A864))),"Distance-location","Named-region")</f>
        <v>Named-region</v>
      </c>
      <c r="V864" s="2" t="str">
        <f aca="false">LOWER(M864)</f>
        <v>mw</v>
      </c>
      <c r="W864" s="5" t="str">
        <f aca="false">IF(COUNTIFS($A$2:$A$1001,A864,$C$2:$C$1001,C864)&gt;1,"Duplicate","Unique")</f>
        <v>Unique</v>
      </c>
    </row>
    <row r="865" customFormat="false" ht="15" hidden="false" customHeight="false" outlineLevel="0" collapsed="false">
      <c r="A865" s="2" t="s">
        <v>2247</v>
      </c>
      <c r="B865" s="3" t="n">
        <v>7.5</v>
      </c>
      <c r="C865" s="2" t="s">
        <v>2248</v>
      </c>
      <c r="D865" s="2" t="n">
        <v>0</v>
      </c>
      <c r="E865" s="2" t="n">
        <v>8</v>
      </c>
      <c r="F865" s="2"/>
      <c r="G865" s="2" t="n">
        <v>0</v>
      </c>
      <c r="H865" s="2" t="n">
        <v>865</v>
      </c>
      <c r="I865" s="2" t="s">
        <v>26</v>
      </c>
      <c r="J865" s="2" t="n">
        <v>0</v>
      </c>
      <c r="K865" s="2" t="n">
        <v>0</v>
      </c>
      <c r="L865" s="2" t="n">
        <v>0</v>
      </c>
      <c r="M865" s="2" t="s">
        <v>131</v>
      </c>
      <c r="N865" s="3" t="n">
        <v>60.6</v>
      </c>
      <c r="O865" s="3" t="n">
        <v>16.059</v>
      </c>
      <c r="P865" s="3" t="n">
        <v>-96.931</v>
      </c>
      <c r="Q865" s="3" t="s">
        <v>2249</v>
      </c>
      <c r="R865" s="2" t="s">
        <v>168</v>
      </c>
      <c r="S865" s="2" t="s">
        <v>169</v>
      </c>
      <c r="T865" s="4" t="n">
        <f aca="false">DATE(VALUE(MID(C865,7,4)),VALUE(MID(C865,4,2)),VALUE(MID(C865,1,2)))+TIME(VALUE(MID(C865,12,2)),VALUE(MID(C865,15,2)),0)</f>
        <v>36433.6881944445</v>
      </c>
      <c r="U865" s="2" t="str">
        <f aca="false">IF(AND(ISNUMBER(VALUE(MID(A865,7,1))),ISNUMBER(SEARCH("km",A865)),ISNUMBER(SEARCH("of",A865))),"Distance-location","Named-region")</f>
        <v>Named-region</v>
      </c>
      <c r="V865" s="2" t="str">
        <f aca="false">LOWER(M865)</f>
        <v>mwc</v>
      </c>
      <c r="W865" s="5" t="str">
        <f aca="false">IF(COUNTIFS($A$2:$A$1001,A865,$C$2:$C$1001,C865)&gt;1,"Duplicate","Unique")</f>
        <v>Unique</v>
      </c>
    </row>
    <row r="866" customFormat="false" ht="15" hidden="false" customHeight="false" outlineLevel="0" collapsed="false">
      <c r="A866" s="2" t="s">
        <v>2250</v>
      </c>
      <c r="B866" s="3" t="n">
        <v>6.5</v>
      </c>
      <c r="C866" s="2" t="s">
        <v>2251</v>
      </c>
      <c r="D866" s="2" t="n">
        <v>0</v>
      </c>
      <c r="E866" s="2" t="n">
        <v>7</v>
      </c>
      <c r="F866" s="2"/>
      <c r="G866" s="2" t="n">
        <v>0</v>
      </c>
      <c r="H866" s="2" t="n">
        <v>650</v>
      </c>
      <c r="I866" s="2" t="s">
        <v>26</v>
      </c>
      <c r="J866" s="2" t="n">
        <v>0</v>
      </c>
      <c r="K866" s="2" t="n">
        <v>0</v>
      </c>
      <c r="L866" s="2" t="n">
        <v>0</v>
      </c>
      <c r="M866" s="2" t="s">
        <v>131</v>
      </c>
      <c r="N866" s="3" t="n">
        <v>17</v>
      </c>
      <c r="O866" s="3" t="n">
        <v>23.738</v>
      </c>
      <c r="P866" s="3" t="n">
        <v>121.158</v>
      </c>
      <c r="Q866" s="3" t="s">
        <v>2252</v>
      </c>
      <c r="R866" s="2" t="s">
        <v>84</v>
      </c>
      <c r="S866" s="2" t="s">
        <v>175</v>
      </c>
      <c r="T866" s="4" t="n">
        <f aca="false">DATE(VALUE(MID(C866,7,4)),VALUE(MID(C866,4,2)),VALUE(MID(C866,1,2)))+TIME(VALUE(MID(C866,12,2)),VALUE(MID(C866,15,2)),0)</f>
        <v>36428.9944444444</v>
      </c>
      <c r="U866" s="2" t="str">
        <f aca="false">IF(AND(ISNUMBER(VALUE(MID(A866,7,1))),ISNUMBER(SEARCH("km",A866)),ISNUMBER(SEARCH("of",A866))),"Distance-location","Named-region")</f>
        <v>Named-region</v>
      </c>
      <c r="V866" s="2" t="str">
        <f aca="false">LOWER(M866)</f>
        <v>mwc</v>
      </c>
      <c r="W866" s="5" t="str">
        <f aca="false">IF(COUNTIFS($A$2:$A$1001,A866,$C$2:$C$1001,C866)&gt;1,"Duplicate","Unique")</f>
        <v>Unique</v>
      </c>
    </row>
    <row r="867" customFormat="false" ht="15" hidden="false" customHeight="false" outlineLevel="0" collapsed="false">
      <c r="A867" s="2" t="s">
        <v>2253</v>
      </c>
      <c r="B867" s="3" t="n">
        <v>7.7</v>
      </c>
      <c r="C867" s="2" t="s">
        <v>2254</v>
      </c>
      <c r="D867" s="2" t="n">
        <v>0</v>
      </c>
      <c r="E867" s="2" t="n">
        <v>9</v>
      </c>
      <c r="F867" s="2"/>
      <c r="G867" s="2" t="n">
        <v>0</v>
      </c>
      <c r="H867" s="2" t="n">
        <v>912</v>
      </c>
      <c r="I867" s="2" t="s">
        <v>26</v>
      </c>
      <c r="J867" s="2" t="n">
        <v>0</v>
      </c>
      <c r="K867" s="2" t="n">
        <v>0</v>
      </c>
      <c r="L867" s="2" t="n">
        <v>0</v>
      </c>
      <c r="M867" s="2" t="s">
        <v>131</v>
      </c>
      <c r="N867" s="3" t="n">
        <v>33</v>
      </c>
      <c r="O867" s="3" t="n">
        <v>23.772</v>
      </c>
      <c r="P867" s="3" t="n">
        <v>120.982</v>
      </c>
      <c r="Q867" s="3" t="s">
        <v>2252</v>
      </c>
      <c r="R867" s="2" t="s">
        <v>84</v>
      </c>
      <c r="S867" s="2" t="s">
        <v>175</v>
      </c>
      <c r="T867" s="4" t="n">
        <f aca="false">DATE(VALUE(MID(C867,7,4)),VALUE(MID(C867,4,2)),VALUE(MID(C867,1,2)))+TIME(VALUE(MID(C867,12,2)),VALUE(MID(C867,15,2)),0)</f>
        <v>36423.7409722222</v>
      </c>
      <c r="U867" s="2" t="str">
        <f aca="false">IF(AND(ISNUMBER(VALUE(MID(A867,7,1))),ISNUMBER(SEARCH("km",A867)),ISNUMBER(SEARCH("of",A867))),"Distance-location","Named-region")</f>
        <v>Named-region</v>
      </c>
      <c r="V867" s="2" t="str">
        <f aca="false">LOWER(M867)</f>
        <v>mwc</v>
      </c>
      <c r="W867" s="5" t="str">
        <f aca="false">IF(COUNTIFS($A$2:$A$1001,A867,$C$2:$C$1001,C867)&gt;1,"Duplicate","Unique")</f>
        <v>Unique</v>
      </c>
    </row>
    <row r="868" customFormat="false" ht="15" hidden="false" customHeight="false" outlineLevel="0" collapsed="false">
      <c r="A868" s="2" t="s">
        <v>2255</v>
      </c>
      <c r="B868" s="3" t="n">
        <v>6.6</v>
      </c>
      <c r="C868" s="2" t="s">
        <v>2256</v>
      </c>
      <c r="D868" s="2" t="n">
        <v>0</v>
      </c>
      <c r="E868" s="2" t="n">
        <v>6</v>
      </c>
      <c r="F868" s="2"/>
      <c r="G868" s="2" t="n">
        <v>0</v>
      </c>
      <c r="H868" s="2" t="n">
        <v>670</v>
      </c>
      <c r="I868" s="2" t="s">
        <v>26</v>
      </c>
      <c r="J868" s="2" t="n">
        <v>0</v>
      </c>
      <c r="K868" s="2" t="n">
        <v>0</v>
      </c>
      <c r="L868" s="2" t="n">
        <v>0</v>
      </c>
      <c r="M868" s="2" t="s">
        <v>131</v>
      </c>
      <c r="N868" s="3" t="n">
        <v>33</v>
      </c>
      <c r="O868" s="3" t="n">
        <v>-16.117</v>
      </c>
      <c r="P868" s="3" t="n">
        <v>168.039</v>
      </c>
      <c r="Q868" s="3" t="s">
        <v>476</v>
      </c>
      <c r="R868" s="2"/>
      <c r="S868" s="2" t="s">
        <v>29</v>
      </c>
      <c r="T868" s="4" t="n">
        <f aca="false">DATE(VALUE(MID(C868,7,4)),VALUE(MID(C868,4,2)),VALUE(MID(C868,1,2)))+TIME(VALUE(MID(C868,12,2)),VALUE(MID(C868,15,2)),0)</f>
        <v>36394.5277777778</v>
      </c>
      <c r="U868" s="2" t="str">
        <f aca="false">IF(AND(ISNUMBER(VALUE(MID(A868,7,1))),ISNUMBER(SEARCH("km",A868)),ISNUMBER(SEARCH("of",A868))),"Distance-location","Named-region")</f>
        <v>Named-region</v>
      </c>
      <c r="V868" s="2" t="str">
        <f aca="false">LOWER(M868)</f>
        <v>mwc</v>
      </c>
      <c r="W868" s="5" t="str">
        <f aca="false">IF(COUNTIFS($A$2:$A$1001,A868,$C$2:$C$1001,C868)&gt;1,"Duplicate","Unique")</f>
        <v>Unique</v>
      </c>
    </row>
    <row r="869" customFormat="false" ht="15" hidden="false" customHeight="false" outlineLevel="0" collapsed="false">
      <c r="A869" s="2" t="s">
        <v>2257</v>
      </c>
      <c r="B869" s="3" t="n">
        <v>6.9</v>
      </c>
      <c r="C869" s="2" t="s">
        <v>2258</v>
      </c>
      <c r="D869" s="2" t="n">
        <v>0</v>
      </c>
      <c r="E869" s="2" t="n">
        <v>6</v>
      </c>
      <c r="F869" s="2"/>
      <c r="G869" s="2" t="n">
        <v>0</v>
      </c>
      <c r="H869" s="2" t="n">
        <v>732</v>
      </c>
      <c r="I869" s="2" t="s">
        <v>26</v>
      </c>
      <c r="J869" s="2" t="n">
        <v>0</v>
      </c>
      <c r="K869" s="2" t="n">
        <v>0</v>
      </c>
      <c r="L869" s="2" t="n">
        <v>0</v>
      </c>
      <c r="M869" s="2" t="s">
        <v>131</v>
      </c>
      <c r="N869" s="3" t="n">
        <v>20</v>
      </c>
      <c r="O869" s="3" t="n">
        <v>9.044</v>
      </c>
      <c r="P869" s="3" t="n">
        <v>-84.159</v>
      </c>
      <c r="Q869" s="3" t="s">
        <v>2259</v>
      </c>
      <c r="R869" s="2"/>
      <c r="S869" s="2"/>
      <c r="T869" s="4" t="n">
        <f aca="false">DATE(VALUE(MID(C869,7,4)),VALUE(MID(C869,4,2)),VALUE(MID(C869,1,2)))+TIME(VALUE(MID(C869,12,2)),VALUE(MID(C869,15,2)),0)</f>
        <v>36392.4180555556</v>
      </c>
      <c r="U869" s="2" t="str">
        <f aca="false">IF(AND(ISNUMBER(VALUE(MID(A869,7,1))),ISNUMBER(SEARCH("km",A869)),ISNUMBER(SEARCH("of",A869))),"Distance-location","Named-region")</f>
        <v>Named-region</v>
      </c>
      <c r="V869" s="2" t="str">
        <f aca="false">LOWER(M869)</f>
        <v>mwc</v>
      </c>
      <c r="W869" s="5" t="str">
        <f aca="false">IF(COUNTIFS($A$2:$A$1001,A869,$C$2:$C$1001,C869)&gt;1,"Duplicate","Unique")</f>
        <v>Unique</v>
      </c>
    </row>
    <row r="870" customFormat="false" ht="15" hidden="false" customHeight="false" outlineLevel="0" collapsed="false">
      <c r="A870" s="2" t="s">
        <v>2260</v>
      </c>
      <c r="B870" s="3" t="n">
        <v>7.6</v>
      </c>
      <c r="C870" s="2" t="s">
        <v>2261</v>
      </c>
      <c r="D870" s="2" t="n">
        <v>0</v>
      </c>
      <c r="E870" s="2" t="n">
        <v>9</v>
      </c>
      <c r="F870" s="2"/>
      <c r="G870" s="2" t="n">
        <v>0</v>
      </c>
      <c r="H870" s="2" t="n">
        <v>889</v>
      </c>
      <c r="I870" s="2" t="s">
        <v>26</v>
      </c>
      <c r="J870" s="2" t="n">
        <v>0</v>
      </c>
      <c r="K870" s="2" t="n">
        <v>0</v>
      </c>
      <c r="L870" s="2" t="n">
        <v>0</v>
      </c>
      <c r="M870" s="2" t="s">
        <v>131</v>
      </c>
      <c r="N870" s="3" t="n">
        <v>17</v>
      </c>
      <c r="O870" s="3" t="n">
        <v>40.748</v>
      </c>
      <c r="P870" s="3" t="n">
        <v>29.864</v>
      </c>
      <c r="Q870" s="3" t="s">
        <v>2262</v>
      </c>
      <c r="R870" s="2" t="s">
        <v>84</v>
      </c>
      <c r="S870" s="2" t="s">
        <v>439</v>
      </c>
      <c r="T870" s="4" t="n">
        <f aca="false">DATE(VALUE(MID(C870,7,4)),VALUE(MID(C870,4,2)),VALUE(MID(C870,1,2)))+TIME(VALUE(MID(C870,12,2)),VALUE(MID(C870,15,2)),0)</f>
        <v>36389.0006944445</v>
      </c>
      <c r="U870" s="2" t="str">
        <f aca="false">IF(AND(ISNUMBER(VALUE(MID(A870,7,1))),ISNUMBER(SEARCH("km",A870)),ISNUMBER(SEARCH("of",A870))),"Distance-location","Named-region")</f>
        <v>Named-region</v>
      </c>
      <c r="V870" s="2" t="str">
        <f aca="false">LOWER(M870)</f>
        <v>mwc</v>
      </c>
      <c r="W870" s="5" t="str">
        <f aca="false">IF(COUNTIFS($A$2:$A$1001,A870,$C$2:$C$1001,C870)&gt;1,"Duplicate","Unique")</f>
        <v>Unique</v>
      </c>
    </row>
    <row r="871" customFormat="false" ht="15" hidden="false" customHeight="false" outlineLevel="0" collapsed="false">
      <c r="A871" s="2" t="s">
        <v>2263</v>
      </c>
      <c r="B871" s="3" t="n">
        <v>6.7</v>
      </c>
      <c r="C871" s="2" t="s">
        <v>2264</v>
      </c>
      <c r="D871" s="2" t="n">
        <v>0</v>
      </c>
      <c r="E871" s="2" t="n">
        <v>8</v>
      </c>
      <c r="F871" s="2"/>
      <c r="G871" s="2" t="n">
        <v>0</v>
      </c>
      <c r="H871" s="2" t="n">
        <v>691</v>
      </c>
      <c r="I871" s="2" t="s">
        <v>26</v>
      </c>
      <c r="J871" s="2" t="n">
        <v>0</v>
      </c>
      <c r="K871" s="2" t="n">
        <v>0</v>
      </c>
      <c r="L871" s="2" t="n">
        <v>0</v>
      </c>
      <c r="M871" s="2" t="s">
        <v>131</v>
      </c>
      <c r="N871" s="3" t="n">
        <v>10</v>
      </c>
      <c r="O871" s="3" t="n">
        <v>15.782</v>
      </c>
      <c r="P871" s="3" t="n">
        <v>-88.33</v>
      </c>
      <c r="Q871" s="3" t="s">
        <v>2265</v>
      </c>
      <c r="R871" s="2"/>
      <c r="S871" s="2" t="s">
        <v>707</v>
      </c>
      <c r="T871" s="4" t="n">
        <f aca="false">DATE(VALUE(MID(C871,7,4)),VALUE(MID(C871,4,2)),VALUE(MID(C871,1,2)))+TIME(VALUE(MID(C871,12,2)),VALUE(MID(C871,15,2)),0)</f>
        <v>36352.5930555556</v>
      </c>
      <c r="U871" s="2" t="str">
        <f aca="false">IF(AND(ISNUMBER(VALUE(MID(A871,7,1))),ISNUMBER(SEARCH("km",A871)),ISNUMBER(SEARCH("of",A871))),"Distance-location","Named-region")</f>
        <v>Named-region</v>
      </c>
      <c r="V871" s="2" t="str">
        <f aca="false">LOWER(M871)</f>
        <v>mwc</v>
      </c>
      <c r="W871" s="5" t="str">
        <f aca="false">IF(COUNTIFS($A$2:$A$1001,A871,$C$2:$C$1001,C871)&gt;1,"Duplicate","Unique")</f>
        <v>Unique</v>
      </c>
    </row>
    <row r="872" customFormat="false" ht="15" hidden="false" customHeight="false" outlineLevel="0" collapsed="false">
      <c r="A872" s="2" t="s">
        <v>2266</v>
      </c>
      <c r="B872" s="3" t="n">
        <v>7</v>
      </c>
      <c r="C872" s="2" t="s">
        <v>2267</v>
      </c>
      <c r="D872" s="2" t="n">
        <v>0</v>
      </c>
      <c r="E872" s="2" t="n">
        <v>7</v>
      </c>
      <c r="F872" s="2"/>
      <c r="G872" s="2" t="n">
        <v>0</v>
      </c>
      <c r="H872" s="2" t="n">
        <v>754</v>
      </c>
      <c r="I872" s="2" t="s">
        <v>26</v>
      </c>
      <c r="J872" s="2" t="n">
        <v>0</v>
      </c>
      <c r="K872" s="2" t="n">
        <v>0</v>
      </c>
      <c r="L872" s="2" t="n">
        <v>0</v>
      </c>
      <c r="M872" s="2" t="s">
        <v>131</v>
      </c>
      <c r="N872" s="3" t="n">
        <v>70</v>
      </c>
      <c r="O872" s="3" t="n">
        <v>18.386</v>
      </c>
      <c r="P872" s="3" t="n">
        <v>-97.436</v>
      </c>
      <c r="Q872" s="3" t="s">
        <v>2268</v>
      </c>
      <c r="R872" s="2" t="s">
        <v>168</v>
      </c>
      <c r="S872" s="2" t="s">
        <v>169</v>
      </c>
      <c r="T872" s="4" t="n">
        <f aca="false">DATE(VALUE(MID(C872,7,4)),VALUE(MID(C872,4,2)),VALUE(MID(C872,1,2)))+TIME(VALUE(MID(C872,12,2)),VALUE(MID(C872,15,2)),0)</f>
        <v>36326.8625</v>
      </c>
      <c r="U872" s="2" t="str">
        <f aca="false">IF(AND(ISNUMBER(VALUE(MID(A872,7,1))),ISNUMBER(SEARCH("km",A872)),ISNUMBER(SEARCH("of",A872))),"Distance-location","Named-region")</f>
        <v>Named-region</v>
      </c>
      <c r="V872" s="2" t="str">
        <f aca="false">LOWER(M872)</f>
        <v>mwc</v>
      </c>
      <c r="W872" s="5" t="str">
        <f aca="false">IF(COUNTIFS($A$2:$A$1001,A872,$C$2:$C$1001,C872)&gt;1,"Duplicate","Unique")</f>
        <v>Unique</v>
      </c>
    </row>
    <row r="873" customFormat="false" ht="15" hidden="false" customHeight="false" outlineLevel="0" collapsed="false">
      <c r="A873" s="2" t="s">
        <v>2269</v>
      </c>
      <c r="B873" s="3" t="n">
        <v>6.6</v>
      </c>
      <c r="C873" s="2" t="s">
        <v>2270</v>
      </c>
      <c r="D873" s="2" t="n">
        <v>0</v>
      </c>
      <c r="E873" s="2" t="n">
        <v>5</v>
      </c>
      <c r="F873" s="2"/>
      <c r="G873" s="2" t="n">
        <v>0</v>
      </c>
      <c r="H873" s="2" t="n">
        <v>670</v>
      </c>
      <c r="I873" s="2" t="s">
        <v>26</v>
      </c>
      <c r="J873" s="2" t="n">
        <v>0</v>
      </c>
      <c r="K873" s="2" t="n">
        <v>0</v>
      </c>
      <c r="L873" s="2" t="n">
        <v>0</v>
      </c>
      <c r="M873" s="2" t="s">
        <v>131</v>
      </c>
      <c r="N873" s="3" t="n">
        <v>27</v>
      </c>
      <c r="O873" s="3" t="n">
        <v>-5.165</v>
      </c>
      <c r="P873" s="3" t="n">
        <v>152.877</v>
      </c>
      <c r="Q873" s="3" t="s">
        <v>629</v>
      </c>
      <c r="R873" s="2"/>
      <c r="S873" s="2" t="s">
        <v>89</v>
      </c>
      <c r="T873" s="4" t="n">
        <f aca="false">DATE(VALUE(MID(C873,7,4)),VALUE(MID(C873,4,2)),VALUE(MID(C873,1,2)))+TIME(VALUE(MID(C873,12,2)),VALUE(MID(C873,15,2)),0)</f>
        <v>36297.4215277778</v>
      </c>
      <c r="U873" s="2" t="str">
        <f aca="false">IF(AND(ISNUMBER(VALUE(MID(A873,7,1))),ISNUMBER(SEARCH("km",A873)),ISNUMBER(SEARCH("of",A873))),"Distance-location","Named-region")</f>
        <v>Named-region</v>
      </c>
      <c r="V873" s="2" t="str">
        <f aca="false">LOWER(M873)</f>
        <v>mwc</v>
      </c>
      <c r="W873" s="5" t="str">
        <f aca="false">IF(COUNTIFS($A$2:$A$1001,A873,$C$2:$C$1001,C873)&gt;1,"Duplicate","Unique")</f>
        <v>Unique</v>
      </c>
    </row>
    <row r="874" customFormat="false" ht="15" hidden="false" customHeight="false" outlineLevel="0" collapsed="false">
      <c r="A874" s="2" t="s">
        <v>2271</v>
      </c>
      <c r="B874" s="3" t="n">
        <v>7.1</v>
      </c>
      <c r="C874" s="2" t="s">
        <v>2272</v>
      </c>
      <c r="D874" s="2" t="n">
        <v>0</v>
      </c>
      <c r="E874" s="2" t="n">
        <v>7</v>
      </c>
      <c r="F874" s="2"/>
      <c r="G874" s="2" t="n">
        <v>0</v>
      </c>
      <c r="H874" s="2" t="n">
        <v>776</v>
      </c>
      <c r="I874" s="2" t="s">
        <v>26</v>
      </c>
      <c r="J874" s="2" t="n">
        <v>0</v>
      </c>
      <c r="K874" s="2" t="n">
        <v>0</v>
      </c>
      <c r="L874" s="2" t="n">
        <v>0</v>
      </c>
      <c r="M874" s="2" t="s">
        <v>131</v>
      </c>
      <c r="N874" s="3" t="n">
        <v>73.7</v>
      </c>
      <c r="O874" s="3" t="n">
        <v>-4.751</v>
      </c>
      <c r="P874" s="3" t="n">
        <v>152.486</v>
      </c>
      <c r="Q874" s="3" t="s">
        <v>629</v>
      </c>
      <c r="R874" s="2"/>
      <c r="S874" s="2" t="s">
        <v>89</v>
      </c>
      <c r="T874" s="4" t="n">
        <f aca="false">DATE(VALUE(MID(C874,7,4)),VALUE(MID(C874,4,2)),VALUE(MID(C874,1,2)))+TIME(VALUE(MID(C874,12,2)),VALUE(MID(C874,15,2)),0)</f>
        <v>36296.0354166667</v>
      </c>
      <c r="U874" s="2" t="str">
        <f aca="false">IF(AND(ISNUMBER(VALUE(MID(A874,7,1))),ISNUMBER(SEARCH("km",A874)),ISNUMBER(SEARCH("of",A874))),"Distance-location","Named-region")</f>
        <v>Named-region</v>
      </c>
      <c r="V874" s="2" t="str">
        <f aca="false">LOWER(M874)</f>
        <v>mwc</v>
      </c>
      <c r="W874" s="5" t="str">
        <f aca="false">IF(COUNTIFS($A$2:$A$1001,A874,$C$2:$C$1001,C874)&gt;1,"Duplicate","Unique")</f>
        <v>Unique</v>
      </c>
    </row>
    <row r="875" customFormat="false" ht="15" hidden="false" customHeight="false" outlineLevel="0" collapsed="false">
      <c r="A875" s="2" t="s">
        <v>2273</v>
      </c>
      <c r="B875" s="3" t="n">
        <v>7.1</v>
      </c>
      <c r="C875" s="2" t="s">
        <v>2274</v>
      </c>
      <c r="D875" s="2" t="n">
        <v>0</v>
      </c>
      <c r="E875" s="2" t="n">
        <v>7</v>
      </c>
      <c r="F875" s="2"/>
      <c r="G875" s="2" t="n">
        <v>0</v>
      </c>
      <c r="H875" s="2" t="n">
        <v>776</v>
      </c>
      <c r="I875" s="2" t="s">
        <v>26</v>
      </c>
      <c r="J875" s="2" t="n">
        <v>0</v>
      </c>
      <c r="K875" s="2" t="n">
        <v>0</v>
      </c>
      <c r="L875" s="2" t="n">
        <v>0</v>
      </c>
      <c r="M875" s="2" t="s">
        <v>158</v>
      </c>
      <c r="N875" s="3" t="n">
        <v>138</v>
      </c>
      <c r="O875" s="3" t="n">
        <v>-5.159</v>
      </c>
      <c r="P875" s="3" t="n">
        <v>150.88</v>
      </c>
      <c r="Q875" s="3" t="s">
        <v>111</v>
      </c>
      <c r="R875" s="2"/>
      <c r="S875" s="2" t="s">
        <v>89</v>
      </c>
      <c r="T875" s="4" t="n">
        <f aca="false">DATE(VALUE(MID(C875,7,4)),VALUE(MID(C875,4,2)),VALUE(MID(C875,1,2)))+TIME(VALUE(MID(C875,12,2)),VALUE(MID(C875,15,2)),0)</f>
        <v>36290.85625</v>
      </c>
      <c r="U875" s="2" t="str">
        <f aca="false">IF(AND(ISNUMBER(VALUE(MID(A875,7,1))),ISNUMBER(SEARCH("km",A875)),ISNUMBER(SEARCH("of",A875))),"Distance-location","Named-region")</f>
        <v>Named-region</v>
      </c>
      <c r="V875" s="2" t="str">
        <f aca="false">LOWER(M875)</f>
        <v>mwb</v>
      </c>
      <c r="W875" s="5" t="str">
        <f aca="false">IF(COUNTIFS($A$2:$A$1001,A875,$C$2:$C$1001,C875)&gt;1,"Duplicate","Unique")</f>
        <v>Unique</v>
      </c>
    </row>
    <row r="876" customFormat="false" ht="15" hidden="false" customHeight="false" outlineLevel="0" collapsed="false">
      <c r="A876" s="2" t="s">
        <v>2275</v>
      </c>
      <c r="B876" s="3" t="n">
        <v>6.8</v>
      </c>
      <c r="C876" s="2" t="s">
        <v>2276</v>
      </c>
      <c r="D876" s="2" t="n">
        <v>0</v>
      </c>
      <c r="E876" s="2" t="n">
        <v>5</v>
      </c>
      <c r="F876" s="2"/>
      <c r="G876" s="2" t="n">
        <v>0</v>
      </c>
      <c r="H876" s="2" t="n">
        <v>711</v>
      </c>
      <c r="I876" s="2" t="s">
        <v>26</v>
      </c>
      <c r="J876" s="2" t="n">
        <v>0</v>
      </c>
      <c r="K876" s="2" t="n">
        <v>0</v>
      </c>
      <c r="L876" s="2" t="n">
        <v>0</v>
      </c>
      <c r="M876" s="2" t="s">
        <v>131</v>
      </c>
      <c r="N876" s="3" t="n">
        <v>164.2</v>
      </c>
      <c r="O876" s="3" t="n">
        <v>-21.422</v>
      </c>
      <c r="P876" s="3" t="n">
        <v>-176.46</v>
      </c>
      <c r="Q876" s="3" t="s">
        <v>329</v>
      </c>
      <c r="R876" s="2"/>
      <c r="S876" s="2"/>
      <c r="T876" s="4" t="n">
        <f aca="false">DATE(VALUE(MID(C876,7,4)),VALUE(MID(C876,4,2)),VALUE(MID(C876,1,2)))+TIME(VALUE(MID(C876,12,2)),VALUE(MID(C876,15,2)),0)</f>
        <v>36263.4430555556</v>
      </c>
      <c r="U876" s="2" t="str">
        <f aca="false">IF(AND(ISNUMBER(VALUE(MID(A876,7,1))),ISNUMBER(SEARCH("km",A876)),ISNUMBER(SEARCH("of",A876))),"Distance-location","Named-region")</f>
        <v>Named-region</v>
      </c>
      <c r="V876" s="2" t="str">
        <f aca="false">LOWER(M876)</f>
        <v>mwc</v>
      </c>
      <c r="W876" s="5" t="str">
        <f aca="false">IF(COUNTIFS($A$2:$A$1001,A876,$C$2:$C$1001,C876)&gt;1,"Duplicate","Unique")</f>
        <v>Unique</v>
      </c>
    </row>
    <row r="877" customFormat="false" ht="15" hidden="false" customHeight="false" outlineLevel="0" collapsed="false">
      <c r="A877" s="2" t="s">
        <v>2277</v>
      </c>
      <c r="B877" s="3" t="n">
        <v>7.4</v>
      </c>
      <c r="C877" s="2" t="s">
        <v>2278</v>
      </c>
      <c r="D877" s="2" t="n">
        <v>0</v>
      </c>
      <c r="E877" s="2" t="n">
        <v>7</v>
      </c>
      <c r="F877" s="2"/>
      <c r="G877" s="2" t="n">
        <v>0</v>
      </c>
      <c r="H877" s="2" t="n">
        <v>842</v>
      </c>
      <c r="I877" s="2" t="s">
        <v>26</v>
      </c>
      <c r="J877" s="2" t="n">
        <v>0</v>
      </c>
      <c r="K877" s="2" t="n">
        <v>0</v>
      </c>
      <c r="L877" s="2" t="n">
        <v>0</v>
      </c>
      <c r="M877" s="2" t="s">
        <v>131</v>
      </c>
      <c r="N877" s="3" t="n">
        <v>150</v>
      </c>
      <c r="O877" s="3" t="n">
        <v>-5.591</v>
      </c>
      <c r="P877" s="3" t="n">
        <v>149.568</v>
      </c>
      <c r="Q877" s="3" t="s">
        <v>111</v>
      </c>
      <c r="R877" s="2"/>
      <c r="S877" s="2" t="s">
        <v>89</v>
      </c>
      <c r="T877" s="4" t="n">
        <f aca="false">DATE(VALUE(MID(C877,7,4)),VALUE(MID(C877,4,2)),VALUE(MID(C877,1,2)))+TIME(VALUE(MID(C877,12,2)),VALUE(MID(C877,15,2)),0)</f>
        <v>36255.4638888889</v>
      </c>
      <c r="U877" s="2" t="str">
        <f aca="false">IF(AND(ISNUMBER(VALUE(MID(A877,7,1))),ISNUMBER(SEARCH("km",A877)),ISNUMBER(SEARCH("of",A877))),"Distance-location","Named-region")</f>
        <v>Named-region</v>
      </c>
      <c r="V877" s="2" t="str">
        <f aca="false">LOWER(M877)</f>
        <v>mwc</v>
      </c>
      <c r="W877" s="5" t="str">
        <f aca="false">IF(COUNTIFS($A$2:$A$1001,A877,$C$2:$C$1001,C877)&gt;1,"Duplicate","Unique")</f>
        <v>Unique</v>
      </c>
    </row>
    <row r="878" customFormat="false" ht="15" hidden="false" customHeight="false" outlineLevel="0" collapsed="false">
      <c r="A878" s="2" t="s">
        <v>2279</v>
      </c>
      <c r="B878" s="3" t="n">
        <v>6.8</v>
      </c>
      <c r="C878" s="2" t="s">
        <v>2280</v>
      </c>
      <c r="D878" s="2" t="n">
        <v>0</v>
      </c>
      <c r="E878" s="2" t="n">
        <v>7</v>
      </c>
      <c r="F878" s="2"/>
      <c r="G878" s="2" t="n">
        <v>0</v>
      </c>
      <c r="H878" s="2" t="n">
        <v>711</v>
      </c>
      <c r="I878" s="2" t="s">
        <v>26</v>
      </c>
      <c r="J878" s="2" t="n">
        <v>0</v>
      </c>
      <c r="K878" s="2" t="n">
        <v>0</v>
      </c>
      <c r="L878" s="2" t="n">
        <v>0</v>
      </c>
      <c r="M878" s="2" t="s">
        <v>131</v>
      </c>
      <c r="N878" s="3" t="n">
        <v>87.2</v>
      </c>
      <c r="O878" s="3" t="n">
        <v>-16.66</v>
      </c>
      <c r="P878" s="3" t="n">
        <v>-72.662</v>
      </c>
      <c r="Q878" s="3" t="s">
        <v>2281</v>
      </c>
      <c r="R878" s="2" t="s">
        <v>37</v>
      </c>
      <c r="S878" s="2" t="s">
        <v>203</v>
      </c>
      <c r="T878" s="4" t="n">
        <f aca="false">DATE(VALUE(MID(C878,7,4)),VALUE(MID(C878,4,2)),VALUE(MID(C878,1,2)))+TIME(VALUE(MID(C878,12,2)),VALUE(MID(C878,15,2)),0)</f>
        <v>36253.2618055556</v>
      </c>
      <c r="U878" s="2" t="str">
        <f aca="false">IF(AND(ISNUMBER(VALUE(MID(A878,7,1))),ISNUMBER(SEARCH("km",A878)),ISNUMBER(SEARCH("of",A878))),"Distance-location","Named-region")</f>
        <v>Named-region</v>
      </c>
      <c r="V878" s="2" t="str">
        <f aca="false">LOWER(M878)</f>
        <v>mwc</v>
      </c>
      <c r="W878" s="5" t="str">
        <f aca="false">IF(COUNTIFS($A$2:$A$1001,A878,$C$2:$C$1001,C878)&gt;1,"Duplicate","Unique")</f>
        <v>Unique</v>
      </c>
    </row>
    <row r="879" customFormat="false" ht="15" hidden="false" customHeight="false" outlineLevel="0" collapsed="false">
      <c r="A879" s="2" t="s">
        <v>2282</v>
      </c>
      <c r="B879" s="3" t="n">
        <v>6.6</v>
      </c>
      <c r="C879" s="2" t="s">
        <v>2283</v>
      </c>
      <c r="D879" s="2" t="n">
        <v>0</v>
      </c>
      <c r="E879" s="2" t="n">
        <v>7</v>
      </c>
      <c r="F879" s="2"/>
      <c r="G879" s="2" t="n">
        <v>0</v>
      </c>
      <c r="H879" s="2" t="n">
        <v>670</v>
      </c>
      <c r="I879" s="2" t="s">
        <v>26</v>
      </c>
      <c r="J879" s="2" t="n">
        <v>0</v>
      </c>
      <c r="K879" s="2" t="n">
        <v>0</v>
      </c>
      <c r="L879" s="2" t="n">
        <v>0</v>
      </c>
      <c r="M879" s="2" t="s">
        <v>158</v>
      </c>
      <c r="N879" s="3" t="n">
        <v>15</v>
      </c>
      <c r="O879" s="3" t="n">
        <v>30.512</v>
      </c>
      <c r="P879" s="3" t="n">
        <v>79.403</v>
      </c>
      <c r="Q879" s="3" t="s">
        <v>2284</v>
      </c>
      <c r="R879" s="2" t="s">
        <v>84</v>
      </c>
      <c r="S879" s="2" t="s">
        <v>864</v>
      </c>
      <c r="T879" s="4" t="n">
        <f aca="false">DATE(VALUE(MID(C879,7,4)),VALUE(MID(C879,4,2)),VALUE(MID(C879,1,2)))+TIME(VALUE(MID(C879,12,2)),VALUE(MID(C879,15,2)),0)</f>
        <v>36247.7951388889</v>
      </c>
      <c r="U879" s="2" t="str">
        <f aca="false">IF(AND(ISNUMBER(VALUE(MID(A879,7,1))),ISNUMBER(SEARCH("km",A879)),ISNUMBER(SEARCH("of",A879))),"Distance-location","Named-region")</f>
        <v>Named-region</v>
      </c>
      <c r="V879" s="2" t="str">
        <f aca="false">LOWER(M879)</f>
        <v>mwb</v>
      </c>
      <c r="W879" s="5" t="str">
        <f aca="false">IF(COUNTIFS($A$2:$A$1001,A879,$C$2:$C$1001,C879)&gt;1,"Duplicate","Unique")</f>
        <v>Unique</v>
      </c>
    </row>
    <row r="880" customFormat="false" ht="15" hidden="false" customHeight="false" outlineLevel="0" collapsed="false">
      <c r="A880" s="2" t="s">
        <v>2285</v>
      </c>
      <c r="B880" s="3" t="n">
        <v>6.9</v>
      </c>
      <c r="C880" s="2" t="s">
        <v>2286</v>
      </c>
      <c r="D880" s="2" t="n">
        <v>0</v>
      </c>
      <c r="E880" s="2" t="n">
        <v>6</v>
      </c>
      <c r="F880" s="2"/>
      <c r="G880" s="2" t="n">
        <v>0</v>
      </c>
      <c r="H880" s="2" t="n">
        <v>732</v>
      </c>
      <c r="I880" s="2" t="s">
        <v>26</v>
      </c>
      <c r="J880" s="2" t="n">
        <v>0</v>
      </c>
      <c r="K880" s="2" t="n">
        <v>0</v>
      </c>
      <c r="L880" s="2" t="n">
        <v>0</v>
      </c>
      <c r="M880" s="2" t="s">
        <v>131</v>
      </c>
      <c r="N880" s="3" t="n">
        <v>33</v>
      </c>
      <c r="O880" s="3" t="n">
        <v>51.587</v>
      </c>
      <c r="P880" s="3" t="n">
        <v>-177.668</v>
      </c>
      <c r="Q880" s="3" t="s">
        <v>612</v>
      </c>
      <c r="R880" s="2" t="s">
        <v>168</v>
      </c>
      <c r="S880" s="2" t="s">
        <v>265</v>
      </c>
      <c r="T880" s="4" t="n">
        <f aca="false">DATE(VALUE(MID(C880,7,4)),VALUE(MID(C880,4,2)),VALUE(MID(C880,1,2)))+TIME(VALUE(MID(C880,12,2)),VALUE(MID(C880,15,2)),0)</f>
        <v>36239.4493055556</v>
      </c>
      <c r="U880" s="2" t="str">
        <f aca="false">IF(AND(ISNUMBER(VALUE(MID(A880,7,1))),ISNUMBER(SEARCH("km",A880)),ISNUMBER(SEARCH("of",A880))),"Distance-location","Named-region")</f>
        <v>Named-region</v>
      </c>
      <c r="V880" s="2" t="str">
        <f aca="false">LOWER(M880)</f>
        <v>mwc</v>
      </c>
      <c r="W880" s="5" t="str">
        <f aca="false">IF(COUNTIFS($A$2:$A$1001,A880,$C$2:$C$1001,C880)&gt;1,"Duplicate","Unique")</f>
        <v>Unique</v>
      </c>
    </row>
    <row r="881" customFormat="false" ht="15" hidden="false" customHeight="false" outlineLevel="0" collapsed="false">
      <c r="A881" s="2" t="s">
        <v>2287</v>
      </c>
      <c r="B881" s="3" t="n">
        <v>6.9</v>
      </c>
      <c r="C881" s="2" t="s">
        <v>2288</v>
      </c>
      <c r="D881" s="2" t="n">
        <v>0</v>
      </c>
      <c r="E881" s="2" t="n">
        <v>5</v>
      </c>
      <c r="F881" s="2"/>
      <c r="G881" s="2" t="n">
        <v>0</v>
      </c>
      <c r="H881" s="2" t="n">
        <v>732</v>
      </c>
      <c r="I881" s="2" t="s">
        <v>26</v>
      </c>
      <c r="J881" s="2" t="n">
        <v>0</v>
      </c>
      <c r="K881" s="2" t="n">
        <v>0</v>
      </c>
      <c r="L881" s="2" t="n">
        <v>0</v>
      </c>
      <c r="M881" s="2" t="s">
        <v>131</v>
      </c>
      <c r="N881" s="3" t="n">
        <v>56.6</v>
      </c>
      <c r="O881" s="3" t="n">
        <v>52.056</v>
      </c>
      <c r="P881" s="3" t="n">
        <v>159.52</v>
      </c>
      <c r="Q881" s="3" t="s">
        <v>2289</v>
      </c>
      <c r="R881" s="2"/>
      <c r="S881" s="2"/>
      <c r="T881" s="4" t="n">
        <f aca="false">DATE(VALUE(MID(C881,7,4)),VALUE(MID(C881,4,2)),VALUE(MID(C881,1,2)))+TIME(VALUE(MID(C881,12,2)),VALUE(MID(C881,15,2)),0)</f>
        <v>36227.5173611111</v>
      </c>
      <c r="U881" s="2" t="str">
        <f aca="false">IF(AND(ISNUMBER(VALUE(MID(A881,7,1))),ISNUMBER(SEARCH("km",A881)),ISNUMBER(SEARCH("of",A881))),"Distance-location","Named-region")</f>
        <v>Named-region</v>
      </c>
      <c r="V881" s="2" t="str">
        <f aca="false">LOWER(M881)</f>
        <v>mwc</v>
      </c>
      <c r="W881" s="5" t="str">
        <f aca="false">IF(COUNTIFS($A$2:$A$1001,A881,$C$2:$C$1001,C881)&gt;1,"Duplicate","Unique")</f>
        <v>Unique</v>
      </c>
    </row>
    <row r="882" customFormat="false" ht="15" hidden="false" customHeight="false" outlineLevel="0" collapsed="false">
      <c r="A882" s="2" t="s">
        <v>2290</v>
      </c>
      <c r="B882" s="3" t="n">
        <v>7.1</v>
      </c>
      <c r="C882" s="2" t="s">
        <v>2291</v>
      </c>
      <c r="D882" s="2" t="n">
        <v>0</v>
      </c>
      <c r="E882" s="2" t="n">
        <v>6</v>
      </c>
      <c r="F882" s="2"/>
      <c r="G882" s="2" t="n">
        <v>0</v>
      </c>
      <c r="H882" s="2" t="n">
        <v>776</v>
      </c>
      <c r="I882" s="2" t="s">
        <v>26</v>
      </c>
      <c r="J882" s="2" t="n">
        <v>0</v>
      </c>
      <c r="K882" s="2" t="n">
        <v>0</v>
      </c>
      <c r="L882" s="2" t="n">
        <v>0</v>
      </c>
      <c r="M882" s="2" t="s">
        <v>131</v>
      </c>
      <c r="N882" s="3" t="n">
        <v>33</v>
      </c>
      <c r="O882" s="3" t="n">
        <v>5.397</v>
      </c>
      <c r="P882" s="3" t="n">
        <v>121.937</v>
      </c>
      <c r="Q882" s="3" t="s">
        <v>745</v>
      </c>
      <c r="R882" s="2"/>
      <c r="S882" s="2"/>
      <c r="T882" s="4" t="n">
        <f aca="false">DATE(VALUE(MID(C882,7,4)),VALUE(MID(C882,4,2)),VALUE(MID(C882,1,2)))+TIME(VALUE(MID(C882,12,2)),VALUE(MID(C882,15,2)),0)</f>
        <v>36223.3694444444</v>
      </c>
      <c r="U882" s="2" t="str">
        <f aca="false">IF(AND(ISNUMBER(VALUE(MID(A882,7,1))),ISNUMBER(SEARCH("km",A882)),ISNUMBER(SEARCH("of",A882))),"Distance-location","Named-region")</f>
        <v>Named-region</v>
      </c>
      <c r="V882" s="2" t="str">
        <f aca="false">LOWER(M882)</f>
        <v>mwc</v>
      </c>
      <c r="W882" s="5" t="str">
        <f aca="false">IF(COUNTIFS($A$2:$A$1001,A882,$C$2:$C$1001,C882)&gt;1,"Duplicate","Unique")</f>
        <v>Unique</v>
      </c>
    </row>
    <row r="883" customFormat="false" ht="15" hidden="false" customHeight="false" outlineLevel="0" collapsed="false">
      <c r="A883" s="2" t="s">
        <v>2292</v>
      </c>
      <c r="B883" s="3" t="n">
        <v>6.6</v>
      </c>
      <c r="C883" s="2" t="s">
        <v>2293</v>
      </c>
      <c r="D883" s="2" t="n">
        <v>0</v>
      </c>
      <c r="E883" s="2" t="n">
        <v>7</v>
      </c>
      <c r="F883" s="2"/>
      <c r="G883" s="2" t="n">
        <v>0</v>
      </c>
      <c r="H883" s="2" t="n">
        <v>670</v>
      </c>
      <c r="I883" s="2" t="s">
        <v>26</v>
      </c>
      <c r="J883" s="2" t="n">
        <v>0</v>
      </c>
      <c r="K883" s="2" t="n">
        <v>0</v>
      </c>
      <c r="L883" s="2" t="n">
        <v>0</v>
      </c>
      <c r="M883" s="2" t="s">
        <v>131</v>
      </c>
      <c r="N883" s="3" t="n">
        <v>33</v>
      </c>
      <c r="O883" s="3" t="n">
        <v>28.343</v>
      </c>
      <c r="P883" s="3" t="n">
        <v>57.193</v>
      </c>
      <c r="Q883" s="3" t="s">
        <v>2294</v>
      </c>
      <c r="R883" s="2" t="s">
        <v>84</v>
      </c>
      <c r="S883" s="2" t="s">
        <v>664</v>
      </c>
      <c r="T883" s="4" t="n">
        <f aca="false">DATE(VALUE(MID(C883,7,4)),VALUE(MID(C883,4,2)),VALUE(MID(C883,1,2)))+TIME(VALUE(MID(C883,12,2)),VALUE(MID(C883,15,2)),0)</f>
        <v>36223.2347222222</v>
      </c>
      <c r="U883" s="2" t="str">
        <f aca="false">IF(AND(ISNUMBER(VALUE(MID(A883,7,1))),ISNUMBER(SEARCH("km",A883)),ISNUMBER(SEARCH("of",A883))),"Distance-location","Named-region")</f>
        <v>Named-region</v>
      </c>
      <c r="V883" s="2" t="str">
        <f aca="false">LOWER(M883)</f>
        <v>mwc</v>
      </c>
      <c r="W883" s="5" t="str">
        <f aca="false">IF(COUNTIFS($A$2:$A$1001,A883,$C$2:$C$1001,C883)&gt;1,"Duplicate","Unique")</f>
        <v>Unique</v>
      </c>
    </row>
    <row r="884" customFormat="false" ht="15" hidden="false" customHeight="false" outlineLevel="0" collapsed="false">
      <c r="A884" s="2" t="s">
        <v>2295</v>
      </c>
      <c r="B884" s="3" t="n">
        <v>7.3</v>
      </c>
      <c r="C884" s="2" t="s">
        <v>2296</v>
      </c>
      <c r="D884" s="2" t="n">
        <v>0</v>
      </c>
      <c r="E884" s="2" t="n">
        <v>7</v>
      </c>
      <c r="F884" s="2"/>
      <c r="G884" s="2" t="n">
        <v>0</v>
      </c>
      <c r="H884" s="2" t="n">
        <v>820</v>
      </c>
      <c r="I884" s="2" t="s">
        <v>26</v>
      </c>
      <c r="J884" s="2" t="n">
        <v>0</v>
      </c>
      <c r="K884" s="2" t="n">
        <v>0</v>
      </c>
      <c r="L884" s="2" t="n">
        <v>0</v>
      </c>
      <c r="M884" s="2" t="s">
        <v>131</v>
      </c>
      <c r="N884" s="3" t="n">
        <v>90.1</v>
      </c>
      <c r="O884" s="3" t="n">
        <v>-12.853</v>
      </c>
      <c r="P884" s="3" t="n">
        <v>166.697</v>
      </c>
      <c r="Q884" s="3" t="s">
        <v>28</v>
      </c>
      <c r="R884" s="2"/>
      <c r="S884" s="2"/>
      <c r="T884" s="4" t="n">
        <f aca="false">DATE(VALUE(MID(C884,7,4)),VALUE(MID(C884,4,2)),VALUE(MID(C884,1,2)))+TIME(VALUE(MID(C884,12,2)),VALUE(MID(C884,15,2)),0)</f>
        <v>36197.9076388889</v>
      </c>
      <c r="U884" s="2" t="str">
        <f aca="false">IF(AND(ISNUMBER(VALUE(MID(A884,7,1))),ISNUMBER(SEARCH("km",A884)),ISNUMBER(SEARCH("of",A884))),"Distance-location","Named-region")</f>
        <v>Named-region</v>
      </c>
      <c r="V884" s="2" t="str">
        <f aca="false">LOWER(M884)</f>
        <v>mwc</v>
      </c>
      <c r="W884" s="5" t="str">
        <f aca="false">IF(COUNTIFS($A$2:$A$1001,A884,$C$2:$C$1001,C884)&gt;1,"Duplicate","Unique")</f>
        <v>Unique</v>
      </c>
    </row>
    <row r="885" customFormat="false" ht="15" hidden="false" customHeight="false" outlineLevel="0" collapsed="false">
      <c r="A885" s="2" t="s">
        <v>2297</v>
      </c>
      <c r="B885" s="3" t="n">
        <v>6.6</v>
      </c>
      <c r="C885" s="2" t="s">
        <v>2298</v>
      </c>
      <c r="D885" s="2" t="n">
        <v>0</v>
      </c>
      <c r="E885" s="2" t="n">
        <v>6</v>
      </c>
      <c r="F885" s="2"/>
      <c r="G885" s="2" t="n">
        <v>0</v>
      </c>
      <c r="H885" s="2" t="n">
        <v>670</v>
      </c>
      <c r="I885" s="2" t="s">
        <v>26</v>
      </c>
      <c r="J885" s="2" t="n">
        <v>0</v>
      </c>
      <c r="K885" s="2" t="n">
        <v>0</v>
      </c>
      <c r="L885" s="2" t="n">
        <v>0</v>
      </c>
      <c r="M885" s="2" t="s">
        <v>131</v>
      </c>
      <c r="N885" s="3" t="n">
        <v>67.2</v>
      </c>
      <c r="O885" s="3" t="n">
        <v>52.886</v>
      </c>
      <c r="P885" s="3" t="n">
        <v>-169.123</v>
      </c>
      <c r="Q885" s="3" t="s">
        <v>238</v>
      </c>
      <c r="R885" s="2" t="s">
        <v>168</v>
      </c>
      <c r="S885" s="2" t="s">
        <v>265</v>
      </c>
      <c r="T885" s="4" t="n">
        <f aca="false">DATE(VALUE(MID(C885,7,4)),VALUE(MID(C885,4,2)),VALUE(MID(C885,1,2)))+TIME(VALUE(MID(C885,12,2)),VALUE(MID(C885,15,2)),0)</f>
        <v>36188.3402777778</v>
      </c>
      <c r="U885" s="2" t="str">
        <f aca="false">IF(AND(ISNUMBER(VALUE(MID(A885,7,1))),ISNUMBER(SEARCH("km",A885)),ISNUMBER(SEARCH("of",A885))),"Distance-location","Named-region")</f>
        <v>Named-region</v>
      </c>
      <c r="V885" s="2" t="str">
        <f aca="false">LOWER(M885)</f>
        <v>mwc</v>
      </c>
      <c r="W885" s="5" t="str">
        <f aca="false">IF(COUNTIFS($A$2:$A$1001,A885,$C$2:$C$1001,C885)&gt;1,"Duplicate","Unique")</f>
        <v>Unique</v>
      </c>
    </row>
    <row r="886" customFormat="false" ht="15" hidden="false" customHeight="false" outlineLevel="0" collapsed="false">
      <c r="A886" s="2" t="s">
        <v>2299</v>
      </c>
      <c r="B886" s="3" t="n">
        <v>7</v>
      </c>
      <c r="C886" s="2" t="s">
        <v>2300</v>
      </c>
      <c r="D886" s="2" t="n">
        <v>0</v>
      </c>
      <c r="E886" s="2" t="n">
        <v>7</v>
      </c>
      <c r="F886" s="2"/>
      <c r="G886" s="2" t="n">
        <v>0</v>
      </c>
      <c r="H886" s="2" t="n">
        <v>754</v>
      </c>
      <c r="I886" s="2" t="s">
        <v>26</v>
      </c>
      <c r="J886" s="2" t="n">
        <v>0</v>
      </c>
      <c r="K886" s="2" t="n">
        <v>0</v>
      </c>
      <c r="L886" s="2" t="n">
        <v>0</v>
      </c>
      <c r="M886" s="2" t="s">
        <v>131</v>
      </c>
      <c r="N886" s="3" t="n">
        <v>114.1</v>
      </c>
      <c r="O886" s="3" t="n">
        <v>-4.596</v>
      </c>
      <c r="P886" s="3" t="n">
        <v>153.235</v>
      </c>
      <c r="Q886" s="3" t="s">
        <v>629</v>
      </c>
      <c r="R886" s="2"/>
      <c r="S886" s="2" t="s">
        <v>89</v>
      </c>
      <c r="T886" s="4" t="n">
        <f aca="false">DATE(VALUE(MID(C886,7,4)),VALUE(MID(C886,4,2)),VALUE(MID(C886,1,2)))+TIME(VALUE(MID(C886,12,2)),VALUE(MID(C886,15,2)),0)</f>
        <v>36179.1493055556</v>
      </c>
      <c r="U886" s="2" t="str">
        <f aca="false">IF(AND(ISNUMBER(VALUE(MID(A886,7,1))),ISNUMBER(SEARCH("km",A886)),ISNUMBER(SEARCH("of",A886))),"Distance-location","Named-region")</f>
        <v>Named-region</v>
      </c>
      <c r="V886" s="2" t="str">
        <f aca="false">LOWER(M886)</f>
        <v>mwc</v>
      </c>
      <c r="W886" s="5" t="str">
        <f aca="false">IF(COUNTIFS($A$2:$A$1001,A886,$C$2:$C$1001,C886)&gt;1,"Duplicate","Unique")</f>
        <v>Unique</v>
      </c>
    </row>
    <row r="887" customFormat="false" ht="15" hidden="false" customHeight="false" outlineLevel="0" collapsed="false">
      <c r="A887" s="2" t="s">
        <v>2301</v>
      </c>
      <c r="B887" s="3" t="n">
        <v>6.8</v>
      </c>
      <c r="C887" s="2" t="s">
        <v>2302</v>
      </c>
      <c r="D887" s="2" t="n">
        <v>0</v>
      </c>
      <c r="E887" s="2" t="n">
        <v>5</v>
      </c>
      <c r="F887" s="2"/>
      <c r="G887" s="2" t="n">
        <v>0</v>
      </c>
      <c r="H887" s="2" t="n">
        <v>711</v>
      </c>
      <c r="I887" s="2" t="s">
        <v>26</v>
      </c>
      <c r="J887" s="2" t="n">
        <v>0</v>
      </c>
      <c r="K887" s="2" t="n">
        <v>0</v>
      </c>
      <c r="L887" s="2" t="n">
        <v>0</v>
      </c>
      <c r="M887" s="2" t="s">
        <v>131</v>
      </c>
      <c r="N887" s="3" t="n">
        <v>144.3</v>
      </c>
      <c r="O887" s="3" t="n">
        <v>-21.632</v>
      </c>
      <c r="P887" s="3" t="n">
        <v>-176.376</v>
      </c>
      <c r="Q887" s="3" t="s">
        <v>329</v>
      </c>
      <c r="R887" s="2"/>
      <c r="S887" s="2"/>
      <c r="T887" s="4" t="n">
        <f aca="false">DATE(VALUE(MID(C887,7,4)),VALUE(MID(C887,4,2)),VALUE(MID(C887,1,2)))+TIME(VALUE(MID(C887,12,2)),VALUE(MID(C887,15,2)),0)</f>
        <v>36156.0263888889</v>
      </c>
      <c r="U887" s="2" t="str">
        <f aca="false">IF(AND(ISNUMBER(VALUE(MID(A887,7,1))),ISNUMBER(SEARCH("km",A887)),ISNUMBER(SEARCH("of",A887))),"Distance-location","Named-region")</f>
        <v>Named-region</v>
      </c>
      <c r="V887" s="2" t="str">
        <f aca="false">LOWER(M887)</f>
        <v>mwc</v>
      </c>
      <c r="W887" s="5" t="str">
        <f aca="false">IF(COUNTIFS($A$2:$A$1001,A887,$C$2:$C$1001,C887)&gt;1,"Duplicate","Unique")</f>
        <v>Unique</v>
      </c>
    </row>
    <row r="888" customFormat="false" ht="15" hidden="false" customHeight="false" outlineLevel="0" collapsed="false">
      <c r="A888" s="2" t="s">
        <v>2303</v>
      </c>
      <c r="B888" s="3" t="n">
        <v>7.7</v>
      </c>
      <c r="C888" s="2" t="s">
        <v>2304</v>
      </c>
      <c r="D888" s="2" t="n">
        <v>0</v>
      </c>
      <c r="E888" s="2" t="n">
        <v>7</v>
      </c>
      <c r="F888" s="2"/>
      <c r="G888" s="2" t="n">
        <v>0</v>
      </c>
      <c r="H888" s="2" t="n">
        <v>912</v>
      </c>
      <c r="I888" s="2" t="s">
        <v>26</v>
      </c>
      <c r="J888" s="2" t="n">
        <v>0</v>
      </c>
      <c r="K888" s="2" t="n">
        <v>0</v>
      </c>
      <c r="L888" s="2" t="n">
        <v>0</v>
      </c>
      <c r="M888" s="2" t="s">
        <v>131</v>
      </c>
      <c r="N888" s="3" t="n">
        <v>33</v>
      </c>
      <c r="O888" s="3" t="n">
        <v>-2.071</v>
      </c>
      <c r="P888" s="3" t="n">
        <v>124.891</v>
      </c>
      <c r="Q888" s="3" t="s">
        <v>511</v>
      </c>
      <c r="R888" s="2"/>
      <c r="S888" s="2" t="s">
        <v>72</v>
      </c>
      <c r="T888" s="4" t="n">
        <f aca="false">DATE(VALUE(MID(C888,7,4)),VALUE(MID(C888,4,2)),VALUE(MID(C888,1,2)))+TIME(VALUE(MID(C888,12,2)),VALUE(MID(C888,15,2)),0)</f>
        <v>36128.5902777778</v>
      </c>
      <c r="U888" s="2" t="str">
        <f aca="false">IF(AND(ISNUMBER(VALUE(MID(A888,7,1))),ISNUMBER(SEARCH("km",A888)),ISNUMBER(SEARCH("of",A888))),"Distance-location","Named-region")</f>
        <v>Named-region</v>
      </c>
      <c r="V888" s="2" t="str">
        <f aca="false">LOWER(M888)</f>
        <v>mwc</v>
      </c>
      <c r="W888" s="5" t="str">
        <f aca="false">IF(COUNTIFS($A$2:$A$1001,A888,$C$2:$C$1001,C888)&gt;1,"Duplicate","Unique")</f>
        <v>Unique</v>
      </c>
    </row>
    <row r="889" customFormat="false" ht="15" hidden="false" customHeight="false" outlineLevel="0" collapsed="false">
      <c r="A889" s="2" t="s">
        <v>2305</v>
      </c>
      <c r="B889" s="3" t="n">
        <v>7</v>
      </c>
      <c r="C889" s="2" t="s">
        <v>2306</v>
      </c>
      <c r="D889" s="2" t="n">
        <v>0</v>
      </c>
      <c r="E889" s="2" t="n">
        <v>7</v>
      </c>
      <c r="F889" s="2"/>
      <c r="G889" s="2" t="n">
        <v>0</v>
      </c>
      <c r="H889" s="2" t="n">
        <v>754</v>
      </c>
      <c r="I889" s="2" t="s">
        <v>26</v>
      </c>
      <c r="J889" s="2" t="n">
        <v>0</v>
      </c>
      <c r="K889" s="2" t="n">
        <v>0</v>
      </c>
      <c r="L889" s="2" t="n">
        <v>0</v>
      </c>
      <c r="M889" s="2" t="s">
        <v>131</v>
      </c>
      <c r="N889" s="3" t="n">
        <v>33</v>
      </c>
      <c r="O889" s="3" t="n">
        <v>-6.92</v>
      </c>
      <c r="P889" s="3" t="n">
        <v>128.946</v>
      </c>
      <c r="Q889" s="3" t="s">
        <v>252</v>
      </c>
      <c r="R889" s="2"/>
      <c r="S889" s="2" t="s">
        <v>72</v>
      </c>
      <c r="T889" s="4" t="n">
        <f aca="false">DATE(VALUE(MID(C889,7,4)),VALUE(MID(C889,4,2)),VALUE(MID(C889,1,2)))+TIME(VALUE(MID(C889,12,2)),VALUE(MID(C889,15,2)),0)</f>
        <v>36108.2347222222</v>
      </c>
      <c r="U889" s="2" t="str">
        <f aca="false">IF(AND(ISNUMBER(VALUE(MID(A889,7,1))),ISNUMBER(SEARCH("km",A889)),ISNUMBER(SEARCH("of",A889))),"Distance-location","Named-region")</f>
        <v>Named-region</v>
      </c>
      <c r="V889" s="2" t="str">
        <f aca="false">LOWER(M889)</f>
        <v>mwc</v>
      </c>
      <c r="W889" s="5" t="str">
        <f aca="false">IF(COUNTIFS($A$2:$A$1001,A889,$C$2:$C$1001,C889)&gt;1,"Duplicate","Unique")</f>
        <v>Unique</v>
      </c>
    </row>
    <row r="890" customFormat="false" ht="15" hidden="false" customHeight="false" outlineLevel="0" collapsed="false">
      <c r="A890" s="2" t="s">
        <v>2307</v>
      </c>
      <c r="B890" s="3" t="n">
        <v>6.7</v>
      </c>
      <c r="C890" s="2" t="s">
        <v>2308</v>
      </c>
      <c r="D890" s="2" t="n">
        <v>0</v>
      </c>
      <c r="E890" s="2" t="n">
        <v>6</v>
      </c>
      <c r="F890" s="2"/>
      <c r="G890" s="2" t="n">
        <v>0</v>
      </c>
      <c r="H890" s="2" t="n">
        <v>691</v>
      </c>
      <c r="I890" s="2" t="s">
        <v>26</v>
      </c>
      <c r="J890" s="2" t="n">
        <v>0</v>
      </c>
      <c r="K890" s="2" t="n">
        <v>0</v>
      </c>
      <c r="L890" s="2" t="n">
        <v>0</v>
      </c>
      <c r="M890" s="2" t="s">
        <v>131</v>
      </c>
      <c r="N890" s="3" t="n">
        <v>33</v>
      </c>
      <c r="O890" s="3" t="n">
        <v>-6.954</v>
      </c>
      <c r="P890" s="3" t="n">
        <v>129.022</v>
      </c>
      <c r="Q890" s="3" t="s">
        <v>252</v>
      </c>
      <c r="R890" s="2"/>
      <c r="S890" s="2" t="s">
        <v>72</v>
      </c>
      <c r="T890" s="4" t="n">
        <f aca="false">DATE(VALUE(MID(C890,7,4)),VALUE(MID(C890,4,2)),VALUE(MID(C890,1,2)))+TIME(VALUE(MID(C890,12,2)),VALUE(MID(C890,15,2)),0)</f>
        <v>36108.2291666667</v>
      </c>
      <c r="U890" s="2" t="str">
        <f aca="false">IF(AND(ISNUMBER(VALUE(MID(A890,7,1))),ISNUMBER(SEARCH("km",A890)),ISNUMBER(SEARCH("of",A890))),"Distance-location","Named-region")</f>
        <v>Named-region</v>
      </c>
      <c r="V890" s="2" t="str">
        <f aca="false">LOWER(M890)</f>
        <v>mwc</v>
      </c>
      <c r="W890" s="5" t="str">
        <f aca="false">IF(COUNTIFS($A$2:$A$1001,A890,$C$2:$C$1001,C890)&gt;1,"Duplicate","Unique")</f>
        <v>Unique</v>
      </c>
    </row>
    <row r="891" customFormat="false" ht="15" hidden="false" customHeight="false" outlineLevel="0" collapsed="false">
      <c r="A891" s="2" t="s">
        <v>2309</v>
      </c>
      <c r="B891" s="3" t="n">
        <v>6.6</v>
      </c>
      <c r="C891" s="2" t="s">
        <v>2310</v>
      </c>
      <c r="D891" s="2" t="n">
        <v>0</v>
      </c>
      <c r="E891" s="2" t="n">
        <v>5</v>
      </c>
      <c r="F891" s="2"/>
      <c r="G891" s="2" t="n">
        <v>0</v>
      </c>
      <c r="H891" s="2" t="n">
        <v>670</v>
      </c>
      <c r="I891" s="2" t="s">
        <v>26</v>
      </c>
      <c r="J891" s="2" t="n">
        <v>0</v>
      </c>
      <c r="K891" s="2" t="n">
        <v>0</v>
      </c>
      <c r="L891" s="2" t="n">
        <v>0</v>
      </c>
      <c r="M891" s="2" t="s">
        <v>158</v>
      </c>
      <c r="N891" s="3" t="n">
        <v>151.6</v>
      </c>
      <c r="O891" s="3" t="n">
        <v>-8.194</v>
      </c>
      <c r="P891" s="3" t="n">
        <v>112.413</v>
      </c>
      <c r="Q891" s="3" t="s">
        <v>2311</v>
      </c>
      <c r="R891" s="2"/>
      <c r="S891" s="2" t="s">
        <v>72</v>
      </c>
      <c r="T891" s="4" t="n">
        <f aca="false">DATE(VALUE(MID(C891,7,4)),VALUE(MID(C891,4,2)),VALUE(MID(C891,1,2)))+TIME(VALUE(MID(C891,12,2)),VALUE(MID(C891,15,2)),0)</f>
        <v>36066.5652777778</v>
      </c>
      <c r="U891" s="2" t="str">
        <f aca="false">IF(AND(ISNUMBER(VALUE(MID(A891,7,1))),ISNUMBER(SEARCH("km",A891)),ISNUMBER(SEARCH("of",A891))),"Distance-location","Named-region")</f>
        <v>Named-region</v>
      </c>
      <c r="V891" s="2" t="str">
        <f aca="false">LOWER(M891)</f>
        <v>mwb</v>
      </c>
      <c r="W891" s="5" t="str">
        <f aca="false">IF(COUNTIFS($A$2:$A$1001,A891,$C$2:$C$1001,C891)&gt;1,"Duplicate","Unique")</f>
        <v>Unique</v>
      </c>
    </row>
    <row r="892" customFormat="false" ht="15" hidden="false" customHeight="false" outlineLevel="0" collapsed="false">
      <c r="A892" s="2" t="s">
        <v>2312</v>
      </c>
      <c r="B892" s="3" t="n">
        <v>6.6</v>
      </c>
      <c r="C892" s="2" t="s">
        <v>2313</v>
      </c>
      <c r="D892" s="2" t="n">
        <v>0</v>
      </c>
      <c r="E892" s="2" t="n">
        <v>6</v>
      </c>
      <c r="F892" s="2"/>
      <c r="G892" s="2" t="n">
        <v>0</v>
      </c>
      <c r="H892" s="2" t="n">
        <v>670</v>
      </c>
      <c r="I892" s="2" t="s">
        <v>26</v>
      </c>
      <c r="J892" s="2" t="n">
        <v>0</v>
      </c>
      <c r="K892" s="2" t="n">
        <v>0</v>
      </c>
      <c r="L892" s="2" t="n">
        <v>0</v>
      </c>
      <c r="M892" s="2" t="s">
        <v>131</v>
      </c>
      <c r="N892" s="3" t="n">
        <v>27</v>
      </c>
      <c r="O892" s="3" t="n">
        <v>-29.45</v>
      </c>
      <c r="P892" s="3" t="n">
        <v>-71.715</v>
      </c>
      <c r="Q892" s="3" t="s">
        <v>527</v>
      </c>
      <c r="R892" s="2"/>
      <c r="S892" s="2" t="s">
        <v>377</v>
      </c>
      <c r="T892" s="4" t="n">
        <f aca="false">DATE(VALUE(MID(C892,7,4)),VALUE(MID(C892,4,2)),VALUE(MID(C892,1,2)))+TIME(VALUE(MID(C892,12,2)),VALUE(MID(C892,15,2)),0)</f>
        <v>36041.7340277778</v>
      </c>
      <c r="U892" s="2" t="str">
        <f aca="false">IF(AND(ISNUMBER(VALUE(MID(A892,7,1))),ISNUMBER(SEARCH("km",A892)),ISNUMBER(SEARCH("of",A892))),"Distance-location","Named-region")</f>
        <v>Named-region</v>
      </c>
      <c r="V892" s="2" t="str">
        <f aca="false">LOWER(M892)</f>
        <v>mwc</v>
      </c>
      <c r="W892" s="5" t="str">
        <f aca="false">IF(COUNTIFS($A$2:$A$1001,A892,$C$2:$C$1001,C892)&gt;1,"Duplicate","Unique")</f>
        <v>Unique</v>
      </c>
    </row>
    <row r="893" customFormat="false" ht="15" hidden="false" customHeight="false" outlineLevel="0" collapsed="false">
      <c r="A893" s="2" t="s">
        <v>2314</v>
      </c>
      <c r="B893" s="3" t="n">
        <v>6.8</v>
      </c>
      <c r="C893" s="2" t="s">
        <v>2315</v>
      </c>
      <c r="D893" s="2" t="n">
        <v>0</v>
      </c>
      <c r="E893" s="2" t="n">
        <v>5</v>
      </c>
      <c r="F893" s="2"/>
      <c r="G893" s="2" t="n">
        <v>0</v>
      </c>
      <c r="H893" s="2" t="n">
        <v>711</v>
      </c>
      <c r="I893" s="2" t="s">
        <v>26</v>
      </c>
      <c r="J893" s="2" t="n">
        <v>0</v>
      </c>
      <c r="K893" s="2" t="n">
        <v>0</v>
      </c>
      <c r="L893" s="2" t="n">
        <v>0</v>
      </c>
      <c r="M893" s="2" t="s">
        <v>131</v>
      </c>
      <c r="N893" s="3" t="n">
        <v>50</v>
      </c>
      <c r="O893" s="3" t="n">
        <v>5.41</v>
      </c>
      <c r="P893" s="3" t="n">
        <v>126.764</v>
      </c>
      <c r="Q893" s="3" t="s">
        <v>301</v>
      </c>
      <c r="R893" s="2"/>
      <c r="S893" s="2" t="s">
        <v>72</v>
      </c>
      <c r="T893" s="4" t="n">
        <f aca="false">DATE(VALUE(MID(C893,7,4)),VALUE(MID(C893,4,2)),VALUE(MID(C893,1,2)))+TIME(VALUE(MID(C893,12,2)),VALUE(MID(C893,15,2)),0)</f>
        <v>36040.3590277778</v>
      </c>
      <c r="U893" s="2" t="str">
        <f aca="false">IF(AND(ISNUMBER(VALUE(MID(A893,7,1))),ISNUMBER(SEARCH("km",A893)),ISNUMBER(SEARCH("of",A893))),"Distance-location","Named-region")</f>
        <v>Named-region</v>
      </c>
      <c r="V893" s="2" t="str">
        <f aca="false">LOWER(M893)</f>
        <v>mwc</v>
      </c>
      <c r="W893" s="5" t="str">
        <f aca="false">IF(COUNTIFS($A$2:$A$1001,A893,$C$2:$C$1001,C893)&gt;1,"Duplicate","Unique")</f>
        <v>Unique</v>
      </c>
    </row>
    <row r="894" customFormat="false" ht="15" hidden="false" customHeight="false" outlineLevel="0" collapsed="false">
      <c r="A894" s="2" t="s">
        <v>2316</v>
      </c>
      <c r="B894" s="3" t="n">
        <v>7.2</v>
      </c>
      <c r="C894" s="2" t="s">
        <v>2317</v>
      </c>
      <c r="D894" s="2" t="n">
        <v>0</v>
      </c>
      <c r="E894" s="2" t="n">
        <v>7</v>
      </c>
      <c r="F894" s="2"/>
      <c r="G894" s="2" t="n">
        <v>0</v>
      </c>
      <c r="H894" s="2" t="n">
        <v>798</v>
      </c>
      <c r="I894" s="2" t="s">
        <v>26</v>
      </c>
      <c r="J894" s="2" t="n">
        <v>0</v>
      </c>
      <c r="K894" s="2" t="n">
        <v>0</v>
      </c>
      <c r="L894" s="2" t="n">
        <v>0</v>
      </c>
      <c r="M894" s="2" t="s">
        <v>131</v>
      </c>
      <c r="N894" s="3" t="n">
        <v>33</v>
      </c>
      <c r="O894" s="3" t="n">
        <v>-0.593</v>
      </c>
      <c r="P894" s="3" t="n">
        <v>-80.393</v>
      </c>
      <c r="Q894" s="3" t="s">
        <v>2318</v>
      </c>
      <c r="R894" s="2" t="s">
        <v>37</v>
      </c>
      <c r="S894" s="2" t="s">
        <v>100</v>
      </c>
      <c r="T894" s="4" t="n">
        <f aca="false">DATE(VALUE(MID(C894,7,4)),VALUE(MID(C894,4,2)),VALUE(MID(C894,1,2)))+TIME(VALUE(MID(C894,12,2)),VALUE(MID(C894,15,2)),0)</f>
        <v>36011.7909722222</v>
      </c>
      <c r="U894" s="2" t="str">
        <f aca="false">IF(AND(ISNUMBER(VALUE(MID(A894,7,1))),ISNUMBER(SEARCH("km",A894)),ISNUMBER(SEARCH("of",A894))),"Distance-location","Named-region")</f>
        <v>Named-region</v>
      </c>
      <c r="V894" s="2" t="str">
        <f aca="false">LOWER(M894)</f>
        <v>mwc</v>
      </c>
      <c r="W894" s="5" t="str">
        <f aca="false">IF(COUNTIFS($A$2:$A$1001,A894,$C$2:$C$1001,C894)&gt;1,"Duplicate","Unique")</f>
        <v>Unique</v>
      </c>
    </row>
    <row r="895" customFormat="false" ht="15" hidden="false" customHeight="false" outlineLevel="0" collapsed="false">
      <c r="A895" s="2" t="s">
        <v>2319</v>
      </c>
      <c r="B895" s="3" t="n">
        <v>6.7</v>
      </c>
      <c r="C895" s="2" t="s">
        <v>2320</v>
      </c>
      <c r="D895" s="2" t="n">
        <v>0</v>
      </c>
      <c r="E895" s="2" t="n">
        <v>6</v>
      </c>
      <c r="F895" s="2"/>
      <c r="G895" s="2" t="n">
        <v>0</v>
      </c>
      <c r="H895" s="2" t="n">
        <v>691</v>
      </c>
      <c r="I895" s="2" t="s">
        <v>26</v>
      </c>
      <c r="J895" s="2" t="n">
        <v>0</v>
      </c>
      <c r="K895" s="2" t="n">
        <v>0</v>
      </c>
      <c r="L895" s="2" t="n">
        <v>0</v>
      </c>
      <c r="M895" s="2" t="s">
        <v>131</v>
      </c>
      <c r="N895" s="3" t="n">
        <v>33</v>
      </c>
      <c r="O895" s="3" t="n">
        <v>-2.693</v>
      </c>
      <c r="P895" s="3" t="n">
        <v>138.901</v>
      </c>
      <c r="Q895" s="3" t="s">
        <v>930</v>
      </c>
      <c r="R895" s="2"/>
      <c r="S895" s="2" t="s">
        <v>72</v>
      </c>
      <c r="T895" s="4" t="n">
        <f aca="false">DATE(VALUE(MID(C895,7,4)),VALUE(MID(C895,4,2)),VALUE(MID(C895,1,2)))+TIME(VALUE(MID(C895,12,2)),VALUE(MID(C895,15,2)),0)</f>
        <v>36005.75</v>
      </c>
      <c r="U895" s="2" t="str">
        <f aca="false">IF(AND(ISNUMBER(VALUE(MID(A895,7,1))),ISNUMBER(SEARCH("km",A895)),ISNUMBER(SEARCH("of",A895))),"Distance-location","Named-region")</f>
        <v>Named-region</v>
      </c>
      <c r="V895" s="2" t="str">
        <f aca="false">LOWER(M895)</f>
        <v>mwc</v>
      </c>
      <c r="W895" s="5" t="str">
        <f aca="false">IF(COUNTIFS($A$2:$A$1001,A895,$C$2:$C$1001,C895)&gt;1,"Duplicate","Unique")</f>
        <v>Unique</v>
      </c>
    </row>
    <row r="896" customFormat="false" ht="15" hidden="false" customHeight="false" outlineLevel="0" collapsed="false">
      <c r="A896" s="2" t="s">
        <v>2321</v>
      </c>
      <c r="B896" s="3" t="n">
        <v>7</v>
      </c>
      <c r="C896" s="2" t="s">
        <v>2322</v>
      </c>
      <c r="D896" s="2" t="n">
        <v>0</v>
      </c>
      <c r="E896" s="2" t="n">
        <v>7</v>
      </c>
      <c r="F896" s="2"/>
      <c r="G896" s="2" t="n">
        <v>0</v>
      </c>
      <c r="H896" s="2" t="n">
        <v>754</v>
      </c>
      <c r="I896" s="2" t="s">
        <v>26</v>
      </c>
      <c r="J896" s="2" t="n">
        <v>0</v>
      </c>
      <c r="K896" s="2" t="n">
        <v>0</v>
      </c>
      <c r="L896" s="2" t="n">
        <v>0</v>
      </c>
      <c r="M896" s="2" t="s">
        <v>131</v>
      </c>
      <c r="N896" s="3" t="n">
        <v>10</v>
      </c>
      <c r="O896" s="3" t="n">
        <v>-2.961</v>
      </c>
      <c r="P896" s="3" t="n">
        <v>141.926</v>
      </c>
      <c r="Q896" s="3" t="s">
        <v>1192</v>
      </c>
      <c r="R896" s="2"/>
      <c r="S896" s="2" t="s">
        <v>89</v>
      </c>
      <c r="T896" s="4" t="n">
        <f aca="false">DATE(VALUE(MID(C896,7,4)),VALUE(MID(C896,4,2)),VALUE(MID(C896,1,2)))+TIME(VALUE(MID(C896,12,2)),VALUE(MID(C896,15,2)),0)</f>
        <v>35993.3673611111</v>
      </c>
      <c r="U896" s="2" t="str">
        <f aca="false">IF(AND(ISNUMBER(VALUE(MID(A896,7,1))),ISNUMBER(SEARCH("km",A896)),ISNUMBER(SEARCH("of",A896))),"Distance-location","Named-region")</f>
        <v>Named-region</v>
      </c>
      <c r="V896" s="2" t="str">
        <f aca="false">LOWER(M896)</f>
        <v>mwc</v>
      </c>
      <c r="W896" s="5" t="str">
        <f aca="false">IF(COUNTIFS($A$2:$A$1001,A896,$C$2:$C$1001,C896)&gt;1,"Duplicate","Unique")</f>
        <v>Unique</v>
      </c>
    </row>
    <row r="897" customFormat="false" ht="15" hidden="false" customHeight="false" outlineLevel="0" collapsed="false">
      <c r="A897" s="2" t="s">
        <v>2323</v>
      </c>
      <c r="B897" s="3" t="n">
        <v>7</v>
      </c>
      <c r="C897" s="2" t="s">
        <v>2324</v>
      </c>
      <c r="D897" s="2" t="n">
        <v>0</v>
      </c>
      <c r="E897" s="2" t="n">
        <v>7</v>
      </c>
      <c r="F897" s="2"/>
      <c r="G897" s="2" t="n">
        <v>0</v>
      </c>
      <c r="H897" s="2" t="n">
        <v>754</v>
      </c>
      <c r="I897" s="2" t="s">
        <v>26</v>
      </c>
      <c r="J897" s="2" t="n">
        <v>0</v>
      </c>
      <c r="K897" s="2" t="n">
        <v>0</v>
      </c>
      <c r="L897" s="2" t="n">
        <v>0</v>
      </c>
      <c r="M897" s="2" t="s">
        <v>131</v>
      </c>
      <c r="N897" s="3" t="n">
        <v>110.2</v>
      </c>
      <c r="O897" s="3" t="n">
        <v>-11.04</v>
      </c>
      <c r="P897" s="3" t="n">
        <v>166.16</v>
      </c>
      <c r="Q897" s="3" t="s">
        <v>416</v>
      </c>
      <c r="R897" s="2"/>
      <c r="S897" s="2" t="s">
        <v>144</v>
      </c>
      <c r="T897" s="4" t="n">
        <f aca="false">DATE(VALUE(MID(C897,7,4)),VALUE(MID(C897,4,2)),VALUE(MID(C897,1,2)))+TIME(VALUE(MID(C897,12,2)),VALUE(MID(C897,15,2)),0)</f>
        <v>35992.4972222222</v>
      </c>
      <c r="U897" s="2" t="str">
        <f aca="false">IF(AND(ISNUMBER(VALUE(MID(A897,7,1))),ISNUMBER(SEARCH("km",A897)),ISNUMBER(SEARCH("of",A897))),"Distance-location","Named-region")</f>
        <v>Named-region</v>
      </c>
      <c r="V897" s="2" t="str">
        <f aca="false">LOWER(M897)</f>
        <v>mwc</v>
      </c>
      <c r="W897" s="5" t="str">
        <f aca="false">IF(COUNTIFS($A$2:$A$1001,A897,$C$2:$C$1001,C897)&gt;1,"Duplicate","Unique")</f>
        <v>Unique</v>
      </c>
    </row>
    <row r="898" customFormat="false" ht="15" hidden="false" customHeight="false" outlineLevel="0" collapsed="false">
      <c r="A898" s="2" t="s">
        <v>2325</v>
      </c>
      <c r="B898" s="3" t="n">
        <v>6.6</v>
      </c>
      <c r="C898" s="2" t="s">
        <v>2326</v>
      </c>
      <c r="D898" s="2" t="n">
        <v>0</v>
      </c>
      <c r="E898" s="2" t="n">
        <v>6</v>
      </c>
      <c r="F898" s="2"/>
      <c r="G898" s="2" t="n">
        <v>0</v>
      </c>
      <c r="H898" s="2" t="n">
        <v>670</v>
      </c>
      <c r="I898" s="2" t="s">
        <v>26</v>
      </c>
      <c r="J898" s="2" t="n">
        <v>0</v>
      </c>
      <c r="K898" s="2" t="n">
        <v>0</v>
      </c>
      <c r="L898" s="2" t="n">
        <v>0</v>
      </c>
      <c r="M898" s="2" t="s">
        <v>158</v>
      </c>
      <c r="N898" s="3" t="n">
        <v>33</v>
      </c>
      <c r="O898" s="3" t="n">
        <v>37.106</v>
      </c>
      <c r="P898" s="3" t="n">
        <v>70.11</v>
      </c>
      <c r="Q898" s="3" t="s">
        <v>2327</v>
      </c>
      <c r="R898" s="2" t="s">
        <v>84</v>
      </c>
      <c r="S898" s="2" t="s">
        <v>96</v>
      </c>
      <c r="T898" s="4" t="n">
        <f aca="false">DATE(VALUE(MID(C898,7,4)),VALUE(MID(C898,4,2)),VALUE(MID(C898,1,2)))+TIME(VALUE(MID(C898,12,2)),VALUE(MID(C898,15,2)),0)</f>
        <v>35945.2652777778</v>
      </c>
      <c r="U898" s="2" t="str">
        <f aca="false">IF(AND(ISNUMBER(VALUE(MID(A898,7,1))),ISNUMBER(SEARCH("km",A898)),ISNUMBER(SEARCH("of",A898))),"Distance-location","Named-region")</f>
        <v>Named-region</v>
      </c>
      <c r="V898" s="2" t="str">
        <f aca="false">LOWER(M898)</f>
        <v>mwb</v>
      </c>
      <c r="W898" s="5" t="str">
        <f aca="false">IF(COUNTIFS($A$2:$A$1001,A898,$C$2:$C$1001,C898)&gt;1,"Duplicate","Unique")</f>
        <v>Unique</v>
      </c>
    </row>
    <row r="899" customFormat="false" ht="15" hidden="false" customHeight="false" outlineLevel="0" collapsed="false">
      <c r="A899" s="2" t="s">
        <v>2328</v>
      </c>
      <c r="B899" s="3" t="n">
        <v>6.6</v>
      </c>
      <c r="C899" s="2" t="s">
        <v>2329</v>
      </c>
      <c r="D899" s="2" t="n">
        <v>0</v>
      </c>
      <c r="E899" s="2" t="n">
        <v>8</v>
      </c>
      <c r="F899" s="2"/>
      <c r="G899" s="2" t="n">
        <v>0</v>
      </c>
      <c r="H899" s="2" t="n">
        <v>670</v>
      </c>
      <c r="I899" s="2" t="s">
        <v>26</v>
      </c>
      <c r="J899" s="2" t="n">
        <v>0</v>
      </c>
      <c r="K899" s="2" t="n">
        <v>0</v>
      </c>
      <c r="L899" s="2" t="n">
        <v>0</v>
      </c>
      <c r="M899" s="2" t="s">
        <v>158</v>
      </c>
      <c r="N899" s="3" t="n">
        <v>24</v>
      </c>
      <c r="O899" s="3" t="n">
        <v>-17.731</v>
      </c>
      <c r="P899" s="3" t="n">
        <v>-65.431</v>
      </c>
      <c r="Q899" s="3" t="s">
        <v>2330</v>
      </c>
      <c r="R899" s="2" t="s">
        <v>37</v>
      </c>
      <c r="S899" s="2" t="s">
        <v>622</v>
      </c>
      <c r="T899" s="4" t="n">
        <f aca="false">DATE(VALUE(MID(C899,7,4)),VALUE(MID(C899,4,2)),VALUE(MID(C899,1,2)))+TIME(VALUE(MID(C899,12,2)),VALUE(MID(C899,15,2)),0)</f>
        <v>35937.2</v>
      </c>
      <c r="U899" s="2" t="str">
        <f aca="false">IF(AND(ISNUMBER(VALUE(MID(A899,7,1))),ISNUMBER(SEARCH("km",A899)),ISNUMBER(SEARCH("of",A899))),"Distance-location","Named-region")</f>
        <v>Named-region</v>
      </c>
      <c r="V899" s="2" t="str">
        <f aca="false">LOWER(M899)</f>
        <v>mwb</v>
      </c>
      <c r="W899" s="5" t="str">
        <f aca="false">IF(COUNTIFS($A$2:$A$1001,A899,$C$2:$C$1001,C899)&gt;1,"Duplicate","Unique")</f>
        <v>Unique</v>
      </c>
    </row>
    <row r="900" customFormat="false" ht="15" hidden="false" customHeight="false" outlineLevel="0" collapsed="false">
      <c r="A900" s="2" t="s">
        <v>2331</v>
      </c>
      <c r="B900" s="3" t="n">
        <v>6.7</v>
      </c>
      <c r="C900" s="2" t="s">
        <v>2332</v>
      </c>
      <c r="D900" s="2" t="n">
        <v>0</v>
      </c>
      <c r="E900" s="2" t="n">
        <v>6</v>
      </c>
      <c r="F900" s="2"/>
      <c r="G900" s="2" t="n">
        <v>0</v>
      </c>
      <c r="H900" s="2" t="n">
        <v>691</v>
      </c>
      <c r="I900" s="2" t="s">
        <v>26</v>
      </c>
      <c r="J900" s="2" t="n">
        <v>0</v>
      </c>
      <c r="K900" s="2" t="n">
        <v>0</v>
      </c>
      <c r="L900" s="2" t="n">
        <v>0</v>
      </c>
      <c r="M900" s="2" t="s">
        <v>158</v>
      </c>
      <c r="N900" s="3" t="n">
        <v>33</v>
      </c>
      <c r="O900" s="3" t="n">
        <v>0.207</v>
      </c>
      <c r="P900" s="3" t="n">
        <v>119.584</v>
      </c>
      <c r="Q900" s="3" t="s">
        <v>578</v>
      </c>
      <c r="R900" s="2"/>
      <c r="S900" s="2" t="s">
        <v>72</v>
      </c>
      <c r="T900" s="4" t="n">
        <f aca="false">DATE(VALUE(MID(C900,7,4)),VALUE(MID(C900,4,2)),VALUE(MID(C900,1,2)))+TIME(VALUE(MID(C900,12,2)),VALUE(MID(C900,15,2)),0)</f>
        <v>35936.2319444444</v>
      </c>
      <c r="U900" s="2" t="str">
        <f aca="false">IF(AND(ISNUMBER(VALUE(MID(A900,7,1))),ISNUMBER(SEARCH("km",A900)),ISNUMBER(SEARCH("of",A900))),"Distance-location","Named-region")</f>
        <v>Named-region</v>
      </c>
      <c r="V900" s="2" t="str">
        <f aca="false">LOWER(M900)</f>
        <v>mwb</v>
      </c>
      <c r="W900" s="5" t="str">
        <f aca="false">IF(COUNTIFS($A$2:$A$1001,A900,$C$2:$C$1001,C900)&gt;1,"Duplicate","Unique")</f>
        <v>Unique</v>
      </c>
    </row>
    <row r="901" customFormat="false" ht="15" hidden="false" customHeight="false" outlineLevel="0" collapsed="false">
      <c r="A901" s="2" t="s">
        <v>2333</v>
      </c>
      <c r="B901" s="3" t="n">
        <v>6.6</v>
      </c>
      <c r="C901" s="2" t="s">
        <v>2334</v>
      </c>
      <c r="D901" s="2" t="n">
        <v>0</v>
      </c>
      <c r="E901" s="2" t="n">
        <v>6</v>
      </c>
      <c r="F901" s="2"/>
      <c r="G901" s="2" t="n">
        <v>0</v>
      </c>
      <c r="H901" s="2" t="n">
        <v>670</v>
      </c>
      <c r="I901" s="2" t="s">
        <v>26</v>
      </c>
      <c r="J901" s="2" t="n">
        <v>0</v>
      </c>
      <c r="K901" s="2" t="n">
        <v>0</v>
      </c>
      <c r="L901" s="2" t="n">
        <v>0</v>
      </c>
      <c r="M901" s="2" t="s">
        <v>131</v>
      </c>
      <c r="N901" s="3" t="n">
        <v>61.4</v>
      </c>
      <c r="O901" s="3" t="n">
        <v>-5.147</v>
      </c>
      <c r="P901" s="3" t="n">
        <v>151.714</v>
      </c>
      <c r="Q901" s="3" t="s">
        <v>629</v>
      </c>
      <c r="R901" s="2"/>
      <c r="S901" s="2" t="s">
        <v>89</v>
      </c>
      <c r="T901" s="4" t="n">
        <f aca="false">DATE(VALUE(MID(C901,7,4)),VALUE(MID(C901,4,2)),VALUE(MID(C901,1,2)))+TIME(VALUE(MID(C901,12,2)),VALUE(MID(C901,15,2)),0)</f>
        <v>35928.9597222222</v>
      </c>
      <c r="U901" s="2" t="str">
        <f aca="false">IF(AND(ISNUMBER(VALUE(MID(A901,7,1))),ISNUMBER(SEARCH("km",A901)),ISNUMBER(SEARCH("of",A901))),"Distance-location","Named-region")</f>
        <v>Named-region</v>
      </c>
      <c r="V901" s="2" t="str">
        <f aca="false">LOWER(M901)</f>
        <v>mwc</v>
      </c>
      <c r="W901" s="5" t="str">
        <f aca="false">IF(COUNTIFS($A$2:$A$1001,A901,$C$2:$C$1001,C901)&gt;1,"Duplicate","Unique")</f>
        <v>Unique</v>
      </c>
    </row>
    <row r="902" customFormat="false" ht="15" hidden="false" customHeight="false" outlineLevel="0" collapsed="false">
      <c r="A902" s="2" t="s">
        <v>2335</v>
      </c>
      <c r="B902" s="3" t="n">
        <v>7.5</v>
      </c>
      <c r="C902" s="2" t="s">
        <v>2336</v>
      </c>
      <c r="D902" s="2" t="n">
        <v>0</v>
      </c>
      <c r="E902" s="2" t="n">
        <v>5</v>
      </c>
      <c r="F902" s="2"/>
      <c r="G902" s="2" t="n">
        <v>0</v>
      </c>
      <c r="H902" s="2" t="n">
        <v>865</v>
      </c>
      <c r="I902" s="2" t="s">
        <v>26</v>
      </c>
      <c r="J902" s="2" t="n">
        <v>0</v>
      </c>
      <c r="K902" s="2" t="n">
        <v>0</v>
      </c>
      <c r="L902" s="2" t="n">
        <v>0</v>
      </c>
      <c r="M902" s="2" t="s">
        <v>158</v>
      </c>
      <c r="N902" s="3" t="n">
        <v>33</v>
      </c>
      <c r="O902" s="3" t="n">
        <v>22.306</v>
      </c>
      <c r="P902" s="3" t="n">
        <v>125.308</v>
      </c>
      <c r="Q902" s="3" t="s">
        <v>2337</v>
      </c>
      <c r="R902" s="2"/>
      <c r="S902" s="2"/>
      <c r="T902" s="4" t="n">
        <f aca="false">DATE(VALUE(MID(C902,7,4)),VALUE(MID(C902,4,2)),VALUE(MID(C902,1,2)))+TIME(VALUE(MID(C902,12,2)),VALUE(MID(C902,15,2)),0)</f>
        <v>35918.9791666667</v>
      </c>
      <c r="U902" s="2" t="str">
        <f aca="false">IF(AND(ISNUMBER(VALUE(MID(A902,7,1))),ISNUMBER(SEARCH("km",A902)),ISNUMBER(SEARCH("of",A902))),"Distance-location","Named-region")</f>
        <v>Named-region</v>
      </c>
      <c r="V902" s="2" t="str">
        <f aca="false">LOWER(M902)</f>
        <v>mwb</v>
      </c>
      <c r="W902" s="5" t="str">
        <f aca="false">IF(COUNTIFS($A$2:$A$1001,A902,$C$2:$C$1001,C902)&gt;1,"Duplicate","Unique")</f>
        <v>Unique</v>
      </c>
    </row>
    <row r="903" customFormat="false" ht="15" hidden="false" customHeight="false" outlineLevel="0" collapsed="false">
      <c r="A903" s="2" t="s">
        <v>2338</v>
      </c>
      <c r="B903" s="3" t="n">
        <v>6.6</v>
      </c>
      <c r="C903" s="2" t="s">
        <v>2339</v>
      </c>
      <c r="D903" s="2" t="n">
        <v>0</v>
      </c>
      <c r="E903" s="2" t="n">
        <v>5</v>
      </c>
      <c r="F903" s="2"/>
      <c r="G903" s="2" t="n">
        <v>0</v>
      </c>
      <c r="H903" s="2" t="n">
        <v>670</v>
      </c>
      <c r="I903" s="2" t="s">
        <v>26</v>
      </c>
      <c r="J903" s="2" t="n">
        <v>0</v>
      </c>
      <c r="K903" s="2" t="n">
        <v>0</v>
      </c>
      <c r="L903" s="2" t="n">
        <v>0</v>
      </c>
      <c r="M903" s="2" t="s">
        <v>131</v>
      </c>
      <c r="N903" s="3" t="n">
        <v>164.6</v>
      </c>
      <c r="O903" s="3" t="n">
        <v>-8.148</v>
      </c>
      <c r="P903" s="3" t="n">
        <v>-74.238</v>
      </c>
      <c r="Q903" s="3" t="s">
        <v>2340</v>
      </c>
      <c r="R903" s="2" t="s">
        <v>37</v>
      </c>
      <c r="S903" s="2" t="s">
        <v>203</v>
      </c>
      <c r="T903" s="4" t="n">
        <f aca="false">DATE(VALUE(MID(C903,7,4)),VALUE(MID(C903,4,2)),VALUE(MID(C903,1,2)))+TIME(VALUE(MID(C903,12,2)),VALUE(MID(C903,15,2)),0)</f>
        <v>35888.9173611111</v>
      </c>
      <c r="U903" s="2" t="str">
        <f aca="false">IF(AND(ISNUMBER(VALUE(MID(A903,7,1))),ISNUMBER(SEARCH("km",A903)),ISNUMBER(SEARCH("of",A903))),"Distance-location","Named-region")</f>
        <v>Named-region</v>
      </c>
      <c r="V903" s="2" t="str">
        <f aca="false">LOWER(M903)</f>
        <v>mwc</v>
      </c>
      <c r="W903" s="5" t="str">
        <f aca="false">IF(COUNTIFS($A$2:$A$1001,A903,$C$2:$C$1001,C903)&gt;1,"Duplicate","Unique")</f>
        <v>Unique</v>
      </c>
    </row>
    <row r="904" customFormat="false" ht="15" hidden="false" customHeight="false" outlineLevel="0" collapsed="false">
      <c r="A904" s="2" t="s">
        <v>2341</v>
      </c>
      <c r="B904" s="3" t="n">
        <v>7</v>
      </c>
      <c r="C904" s="2" t="s">
        <v>2342</v>
      </c>
      <c r="D904" s="2" t="n">
        <v>0</v>
      </c>
      <c r="E904" s="2" t="n">
        <v>6</v>
      </c>
      <c r="F904" s="2"/>
      <c r="G904" s="2" t="n">
        <v>0</v>
      </c>
      <c r="H904" s="2" t="n">
        <v>754</v>
      </c>
      <c r="I904" s="2" t="s">
        <v>26</v>
      </c>
      <c r="J904" s="2" t="n">
        <v>0</v>
      </c>
      <c r="K904" s="2" t="n">
        <v>0</v>
      </c>
      <c r="L904" s="2" t="n">
        <v>0</v>
      </c>
      <c r="M904" s="2" t="s">
        <v>131</v>
      </c>
      <c r="N904" s="3" t="n">
        <v>55.7</v>
      </c>
      <c r="O904" s="3" t="n">
        <v>-0.544</v>
      </c>
      <c r="P904" s="3" t="n">
        <v>99.261</v>
      </c>
      <c r="Q904" s="3" t="s">
        <v>224</v>
      </c>
      <c r="R904" s="2"/>
      <c r="S904" s="2" t="s">
        <v>72</v>
      </c>
      <c r="T904" s="4" t="n">
        <f aca="false">DATE(VALUE(MID(C904,7,4)),VALUE(MID(C904,4,2)),VALUE(MID(C904,1,2)))+TIME(VALUE(MID(C904,12,2)),VALUE(MID(C904,15,2)),0)</f>
        <v>35886.7472222222</v>
      </c>
      <c r="U904" s="2" t="str">
        <f aca="false">IF(AND(ISNUMBER(VALUE(MID(A904,7,1))),ISNUMBER(SEARCH("km",A904)),ISNUMBER(SEARCH("of",A904))),"Distance-location","Named-region")</f>
        <v>Named-region</v>
      </c>
      <c r="V904" s="2" t="str">
        <f aca="false">LOWER(M904)</f>
        <v>mwc</v>
      </c>
      <c r="W904" s="5" t="str">
        <f aca="false">IF(COUNTIFS($A$2:$A$1001,A904,$C$2:$C$1001,C904)&gt;1,"Duplicate","Unique")</f>
        <v>Unique</v>
      </c>
    </row>
    <row r="905" customFormat="false" ht="15" hidden="false" customHeight="false" outlineLevel="0" collapsed="false">
      <c r="A905" s="2" t="s">
        <v>2343</v>
      </c>
      <c r="B905" s="3" t="n">
        <v>6.6</v>
      </c>
      <c r="C905" s="2" t="s">
        <v>2344</v>
      </c>
      <c r="D905" s="2" t="n">
        <v>0</v>
      </c>
      <c r="E905" s="2" t="n">
        <v>8</v>
      </c>
      <c r="F905" s="2"/>
      <c r="G905" s="2" t="n">
        <v>0</v>
      </c>
      <c r="H905" s="2" t="n">
        <v>670</v>
      </c>
      <c r="I905" s="2" t="s">
        <v>26</v>
      </c>
      <c r="J905" s="2" t="n">
        <v>0</v>
      </c>
      <c r="K905" s="2" t="n">
        <v>0</v>
      </c>
      <c r="L905" s="2" t="n">
        <v>0</v>
      </c>
      <c r="M905" s="2" t="s">
        <v>131</v>
      </c>
      <c r="N905" s="3" t="n">
        <v>9</v>
      </c>
      <c r="O905" s="3" t="n">
        <v>30.154</v>
      </c>
      <c r="P905" s="3" t="n">
        <v>57.605</v>
      </c>
      <c r="Q905" s="3" t="s">
        <v>2345</v>
      </c>
      <c r="R905" s="2" t="s">
        <v>84</v>
      </c>
      <c r="S905" s="2" t="s">
        <v>664</v>
      </c>
      <c r="T905" s="4" t="n">
        <f aca="false">DATE(VALUE(MID(C905,7,4)),VALUE(MID(C905,4,2)),VALUE(MID(C905,1,2)))+TIME(VALUE(MID(C905,12,2)),VALUE(MID(C905,15,2)),0)</f>
        <v>35868.8194444444</v>
      </c>
      <c r="U905" s="2" t="str">
        <f aca="false">IF(AND(ISNUMBER(VALUE(MID(A905,7,1))),ISNUMBER(SEARCH("km",A905)),ISNUMBER(SEARCH("of",A905))),"Distance-location","Named-region")</f>
        <v>Named-region</v>
      </c>
      <c r="V905" s="2" t="str">
        <f aca="false">LOWER(M905)</f>
        <v>mwc</v>
      </c>
      <c r="W905" s="5" t="str">
        <f aca="false">IF(COUNTIFS($A$2:$A$1001,A905,$C$2:$C$1001,C905)&gt;1,"Duplicate","Unique")</f>
        <v>Unique</v>
      </c>
    </row>
    <row r="906" customFormat="false" ht="15" hidden="false" customHeight="false" outlineLevel="0" collapsed="false">
      <c r="A906" s="2" t="s">
        <v>2346</v>
      </c>
      <c r="B906" s="3" t="n">
        <v>7.1</v>
      </c>
      <c r="C906" s="2" t="s">
        <v>2347</v>
      </c>
      <c r="D906" s="2" t="n">
        <v>0</v>
      </c>
      <c r="E906" s="2" t="n">
        <v>7</v>
      </c>
      <c r="F906" s="2"/>
      <c r="G906" s="2" t="n">
        <v>0</v>
      </c>
      <c r="H906" s="2" t="n">
        <v>776</v>
      </c>
      <c r="I906" s="2" t="s">
        <v>26</v>
      </c>
      <c r="J906" s="2" t="n">
        <v>0</v>
      </c>
      <c r="K906" s="2" t="n">
        <v>0</v>
      </c>
      <c r="L906" s="2" t="n">
        <v>0</v>
      </c>
      <c r="M906" s="2" t="s">
        <v>131</v>
      </c>
      <c r="N906" s="3" t="n">
        <v>42</v>
      </c>
      <c r="O906" s="3" t="n">
        <v>-23.913</v>
      </c>
      <c r="P906" s="3" t="n">
        <v>-70.207</v>
      </c>
      <c r="Q906" s="3" t="s">
        <v>1634</v>
      </c>
      <c r="R906" s="2" t="s">
        <v>37</v>
      </c>
      <c r="S906" s="2" t="s">
        <v>377</v>
      </c>
      <c r="T906" s="4" t="n">
        <f aca="false">DATE(VALUE(MID(C906,7,4)),VALUE(MID(C906,4,2)),VALUE(MID(C906,1,2)))+TIME(VALUE(MID(C906,12,2)),VALUE(MID(C906,15,2)),0)</f>
        <v>35825.5111111111</v>
      </c>
      <c r="U906" s="2" t="str">
        <f aca="false">IF(AND(ISNUMBER(VALUE(MID(A906,7,1))),ISNUMBER(SEARCH("km",A906)),ISNUMBER(SEARCH("of",A906))),"Distance-location","Named-region")</f>
        <v>Named-region</v>
      </c>
      <c r="V906" s="2" t="str">
        <f aca="false">LOWER(M906)</f>
        <v>mwc</v>
      </c>
      <c r="W906" s="5" t="str">
        <f aca="false">IF(COUNTIFS($A$2:$A$1001,A906,$C$2:$C$1001,C906)&gt;1,"Duplicate","Unique")</f>
        <v>Unique</v>
      </c>
    </row>
    <row r="907" customFormat="false" ht="15" hidden="false" customHeight="false" outlineLevel="0" collapsed="false">
      <c r="A907" s="2" t="s">
        <v>2348</v>
      </c>
      <c r="B907" s="3" t="n">
        <v>6.7</v>
      </c>
      <c r="C907" s="2" t="s">
        <v>2349</v>
      </c>
      <c r="D907" s="2" t="n">
        <v>0</v>
      </c>
      <c r="E907" s="2" t="n">
        <v>6</v>
      </c>
      <c r="F907" s="2"/>
      <c r="G907" s="2" t="n">
        <v>0</v>
      </c>
      <c r="H907" s="2" t="n">
        <v>691</v>
      </c>
      <c r="I907" s="2" t="s">
        <v>26</v>
      </c>
      <c r="J907" s="2" t="n">
        <v>0</v>
      </c>
      <c r="K907" s="2" t="n">
        <v>0</v>
      </c>
      <c r="L907" s="2" t="n">
        <v>0</v>
      </c>
      <c r="M907" s="2" t="s">
        <v>131</v>
      </c>
      <c r="N907" s="3" t="n">
        <v>23.4</v>
      </c>
      <c r="O907" s="3" t="n">
        <v>-15.848</v>
      </c>
      <c r="P907" s="3" t="n">
        <v>-179.376</v>
      </c>
      <c r="Q907" s="3" t="s">
        <v>2350</v>
      </c>
      <c r="R907" s="2"/>
      <c r="S907" s="2" t="s">
        <v>150</v>
      </c>
      <c r="T907" s="4" t="n">
        <f aca="false">DATE(VALUE(MID(C907,7,4)),VALUE(MID(C907,4,2)),VALUE(MID(C907,1,2)))+TIME(VALUE(MID(C907,12,2)),VALUE(MID(C907,15,2)),0)</f>
        <v>35807.6916666667</v>
      </c>
      <c r="U907" s="2" t="str">
        <f aca="false">IF(AND(ISNUMBER(VALUE(MID(A907,7,1))),ISNUMBER(SEARCH("km",A907)),ISNUMBER(SEARCH("of",A907))),"Distance-location","Named-region")</f>
        <v>Named-region</v>
      </c>
      <c r="V907" s="2" t="str">
        <f aca="false">LOWER(M907)</f>
        <v>mwc</v>
      </c>
      <c r="W907" s="5" t="str">
        <f aca="false">IF(COUNTIFS($A$2:$A$1001,A907,$C$2:$C$1001,C907)&gt;1,"Duplicate","Unique")</f>
        <v>Unique</v>
      </c>
    </row>
    <row r="908" customFormat="false" ht="15" hidden="false" customHeight="false" outlineLevel="0" collapsed="false">
      <c r="A908" s="2" t="s">
        <v>2351</v>
      </c>
      <c r="B908" s="3" t="n">
        <v>6.6</v>
      </c>
      <c r="C908" s="2" t="s">
        <v>2352</v>
      </c>
      <c r="D908" s="2" t="n">
        <v>0</v>
      </c>
      <c r="E908" s="2" t="n">
        <v>7</v>
      </c>
      <c r="F908" s="2"/>
      <c r="G908" s="2" t="n">
        <v>0</v>
      </c>
      <c r="H908" s="2" t="n">
        <v>670</v>
      </c>
      <c r="I908" s="2" t="s">
        <v>26</v>
      </c>
      <c r="J908" s="2" t="n">
        <v>0</v>
      </c>
      <c r="K908" s="2" t="n">
        <v>0</v>
      </c>
      <c r="L908" s="2" t="n">
        <v>0</v>
      </c>
      <c r="M908" s="2" t="s">
        <v>131</v>
      </c>
      <c r="N908" s="3" t="n">
        <v>34.8</v>
      </c>
      <c r="O908" s="3" t="n">
        <v>-30.985</v>
      </c>
      <c r="P908" s="3" t="n">
        <v>-71.41</v>
      </c>
      <c r="Q908" s="3" t="s">
        <v>897</v>
      </c>
      <c r="R908" s="2" t="s">
        <v>37</v>
      </c>
      <c r="S908" s="2" t="s">
        <v>377</v>
      </c>
      <c r="T908" s="4" t="n">
        <f aca="false">DATE(VALUE(MID(C908,7,4)),VALUE(MID(C908,4,2)),VALUE(MID(C908,1,2)))+TIME(VALUE(MID(C908,12,2)),VALUE(MID(C908,15,2)),0)</f>
        <v>35807.4263888889</v>
      </c>
      <c r="U908" s="2" t="str">
        <f aca="false">IF(AND(ISNUMBER(VALUE(MID(A908,7,1))),ISNUMBER(SEARCH("km",A908)),ISNUMBER(SEARCH("of",A908))),"Distance-location","Named-region")</f>
        <v>Named-region</v>
      </c>
      <c r="V908" s="2" t="str">
        <f aca="false">LOWER(M908)</f>
        <v>mwc</v>
      </c>
      <c r="W908" s="5" t="str">
        <f aca="false">IF(COUNTIFS($A$2:$A$1001,A908,$C$2:$C$1001,C908)&gt;1,"Duplicate","Unique")</f>
        <v>Unique</v>
      </c>
    </row>
    <row r="909" customFormat="false" ht="15" hidden="false" customHeight="false" outlineLevel="0" collapsed="false">
      <c r="A909" s="2" t="s">
        <v>2353</v>
      </c>
      <c r="B909" s="3" t="n">
        <v>6.6</v>
      </c>
      <c r="C909" s="2" t="s">
        <v>2354</v>
      </c>
      <c r="D909" s="2" t="n">
        <v>0</v>
      </c>
      <c r="E909" s="2" t="n">
        <v>6</v>
      </c>
      <c r="F909" s="2"/>
      <c r="G909" s="2" t="n">
        <v>0</v>
      </c>
      <c r="H909" s="2" t="n">
        <v>670</v>
      </c>
      <c r="I909" s="2" t="s">
        <v>26</v>
      </c>
      <c r="J909" s="2" t="n">
        <v>0</v>
      </c>
      <c r="K909" s="2" t="n">
        <v>0</v>
      </c>
      <c r="L909" s="2" t="n">
        <v>0</v>
      </c>
      <c r="M909" s="2" t="s">
        <v>131</v>
      </c>
      <c r="N909" s="3" t="n">
        <v>33</v>
      </c>
      <c r="O909" s="3" t="n">
        <v>14.374</v>
      </c>
      <c r="P909" s="3" t="n">
        <v>-91.473</v>
      </c>
      <c r="Q909" s="3" t="s">
        <v>2355</v>
      </c>
      <c r="R909" s="2"/>
      <c r="S909" s="2" t="s">
        <v>707</v>
      </c>
      <c r="T909" s="4" t="n">
        <f aca="false">DATE(VALUE(MID(C909,7,4)),VALUE(MID(C909,4,2)),VALUE(MID(C909,1,2)))+TIME(VALUE(MID(C909,12,2)),VALUE(MID(C909,15,2)),0)</f>
        <v>35805.3472222222</v>
      </c>
      <c r="U909" s="2" t="str">
        <f aca="false">IF(AND(ISNUMBER(VALUE(MID(A909,7,1))),ISNUMBER(SEARCH("km",A909)),ISNUMBER(SEARCH("of",A909))),"Distance-location","Named-region")</f>
        <v>Named-region</v>
      </c>
      <c r="V909" s="2" t="str">
        <f aca="false">LOWER(M909)</f>
        <v>mwc</v>
      </c>
      <c r="W909" s="5" t="str">
        <f aca="false">IF(COUNTIFS($A$2:$A$1001,A909,$C$2:$C$1001,C909)&gt;1,"Duplicate","Unique")</f>
        <v>Unique</v>
      </c>
    </row>
    <row r="910" customFormat="false" ht="15" hidden="false" customHeight="false" outlineLevel="0" collapsed="false">
      <c r="A910" s="2" t="s">
        <v>2356</v>
      </c>
      <c r="B910" s="3" t="n">
        <v>7.2</v>
      </c>
      <c r="C910" s="2" t="s">
        <v>2357</v>
      </c>
      <c r="D910" s="2" t="n">
        <v>0</v>
      </c>
      <c r="E910" s="2" t="n">
        <v>6</v>
      </c>
      <c r="F910" s="2"/>
      <c r="G910" s="2" t="n">
        <v>0</v>
      </c>
      <c r="H910" s="2" t="n">
        <v>798</v>
      </c>
      <c r="I910" s="2" t="s">
        <v>26</v>
      </c>
      <c r="J910" s="2" t="n">
        <v>0</v>
      </c>
      <c r="K910" s="2" t="n">
        <v>0</v>
      </c>
      <c r="L910" s="2" t="n">
        <v>0</v>
      </c>
      <c r="M910" s="2" t="s">
        <v>131</v>
      </c>
      <c r="N910" s="3" t="n">
        <v>179.3</v>
      </c>
      <c r="O910" s="3" t="n">
        <v>-5.495</v>
      </c>
      <c r="P910" s="3" t="n">
        <v>147.867</v>
      </c>
      <c r="Q910" s="3" t="s">
        <v>1015</v>
      </c>
      <c r="R910" s="2"/>
      <c r="S910" s="2" t="s">
        <v>89</v>
      </c>
      <c r="T910" s="4" t="n">
        <f aca="false">DATE(VALUE(MID(C910,7,4)),VALUE(MID(C910,4,2)),VALUE(MID(C910,1,2)))+TIME(VALUE(MID(C910,12,2)),VALUE(MID(C910,15,2)),0)</f>
        <v>35786.0868055556</v>
      </c>
      <c r="U910" s="2" t="str">
        <f aca="false">IF(AND(ISNUMBER(VALUE(MID(A910,7,1))),ISNUMBER(SEARCH("km",A910)),ISNUMBER(SEARCH("of",A910))),"Distance-location","Named-region")</f>
        <v>Named-region</v>
      </c>
      <c r="V910" s="2" t="str">
        <f aca="false">LOWER(M910)</f>
        <v>mwc</v>
      </c>
      <c r="W910" s="5" t="str">
        <f aca="false">IF(COUNTIFS($A$2:$A$1001,A910,$C$2:$C$1001,C910)&gt;1,"Duplicate","Unique")</f>
        <v>Unique</v>
      </c>
    </row>
    <row r="911" customFormat="false" ht="15" hidden="false" customHeight="false" outlineLevel="0" collapsed="false">
      <c r="A911" s="2" t="s">
        <v>2358</v>
      </c>
      <c r="B911" s="3" t="n">
        <v>7.8</v>
      </c>
      <c r="C911" s="2" t="s">
        <v>2359</v>
      </c>
      <c r="D911" s="2" t="n">
        <v>0</v>
      </c>
      <c r="E911" s="2" t="n">
        <v>7</v>
      </c>
      <c r="F911" s="2"/>
      <c r="G911" s="2" t="n">
        <v>0</v>
      </c>
      <c r="H911" s="2" t="n">
        <v>936</v>
      </c>
      <c r="I911" s="2" t="s">
        <v>26</v>
      </c>
      <c r="J911" s="2" t="n">
        <v>0</v>
      </c>
      <c r="K911" s="2" t="n">
        <v>0</v>
      </c>
      <c r="L911" s="2" t="n">
        <v>0</v>
      </c>
      <c r="M911" s="2" t="s">
        <v>131</v>
      </c>
      <c r="N911" s="3" t="n">
        <v>33</v>
      </c>
      <c r="O911" s="3" t="n">
        <v>54.841</v>
      </c>
      <c r="P911" s="3" t="n">
        <v>162.035</v>
      </c>
      <c r="Q911" s="3" t="s">
        <v>338</v>
      </c>
      <c r="R911" s="2" t="s">
        <v>84</v>
      </c>
      <c r="S911" s="2" t="s">
        <v>432</v>
      </c>
      <c r="T911" s="4" t="n">
        <f aca="false">DATE(VALUE(MID(C911,7,4)),VALUE(MID(C911,4,2)),VALUE(MID(C911,1,2)))+TIME(VALUE(MID(C911,12,2)),VALUE(MID(C911,15,2)),0)</f>
        <v>35769.4763888889</v>
      </c>
      <c r="U911" s="2" t="str">
        <f aca="false">IF(AND(ISNUMBER(VALUE(MID(A911,7,1))),ISNUMBER(SEARCH("km",A911)),ISNUMBER(SEARCH("of",A911))),"Distance-location","Named-region")</f>
        <v>Named-region</v>
      </c>
      <c r="V911" s="2" t="str">
        <f aca="false">LOWER(M911)</f>
        <v>mwc</v>
      </c>
      <c r="W911" s="5" t="str">
        <f aca="false">IF(COUNTIFS($A$2:$A$1001,A911,$C$2:$C$1001,C911)&gt;1,"Duplicate","Unique")</f>
        <v>Unique</v>
      </c>
    </row>
    <row r="912" customFormat="false" ht="15" hidden="false" customHeight="false" outlineLevel="0" collapsed="false">
      <c r="A912" s="2" t="s">
        <v>2360</v>
      </c>
      <c r="B912" s="3" t="n">
        <v>7</v>
      </c>
      <c r="C912" s="2" t="s">
        <v>2361</v>
      </c>
      <c r="D912" s="2" t="n">
        <v>0</v>
      </c>
      <c r="E912" s="2" t="n">
        <v>6</v>
      </c>
      <c r="F912" s="2"/>
      <c r="G912" s="2" t="n">
        <v>0</v>
      </c>
      <c r="H912" s="2" t="n">
        <v>754</v>
      </c>
      <c r="I912" s="2" t="s">
        <v>26</v>
      </c>
      <c r="J912" s="2" t="n">
        <v>0</v>
      </c>
      <c r="K912" s="2" t="n">
        <v>0</v>
      </c>
      <c r="L912" s="2" t="n">
        <v>0</v>
      </c>
      <c r="M912" s="2" t="s">
        <v>131</v>
      </c>
      <c r="N912" s="3" t="n">
        <v>24</v>
      </c>
      <c r="O912" s="3" t="n">
        <v>1.241</v>
      </c>
      <c r="P912" s="3" t="n">
        <v>122.536</v>
      </c>
      <c r="Q912" s="3" t="s">
        <v>1570</v>
      </c>
      <c r="R912" s="2"/>
      <c r="S912" s="2" t="s">
        <v>72</v>
      </c>
      <c r="T912" s="4" t="n">
        <f aca="false">DATE(VALUE(MID(C912,7,4)),VALUE(MID(C912,4,2)),VALUE(MID(C912,1,2)))+TIME(VALUE(MID(C912,12,2)),VALUE(MID(C912,15,2)),0)</f>
        <v>35759.5097222222</v>
      </c>
      <c r="U912" s="2" t="str">
        <f aca="false">IF(AND(ISNUMBER(VALUE(MID(A912,7,1))),ISNUMBER(SEARCH("km",A912)),ISNUMBER(SEARCH("of",A912))),"Distance-location","Named-region")</f>
        <v>Named-region</v>
      </c>
      <c r="V912" s="2" t="str">
        <f aca="false">LOWER(M912)</f>
        <v>mwc</v>
      </c>
      <c r="W912" s="5" t="str">
        <f aca="false">IF(COUNTIFS($A$2:$A$1001,A912,$C$2:$C$1001,C912)&gt;1,"Duplicate","Unique")</f>
        <v>Unique</v>
      </c>
    </row>
    <row r="913" customFormat="false" ht="15" hidden="false" customHeight="false" outlineLevel="0" collapsed="false">
      <c r="A913" s="2" t="s">
        <v>2362</v>
      </c>
      <c r="B913" s="3" t="n">
        <v>6.6</v>
      </c>
      <c r="C913" s="2" t="s">
        <v>2363</v>
      </c>
      <c r="D913" s="2" t="n">
        <v>0</v>
      </c>
      <c r="E913" s="2" t="n">
        <v>7</v>
      </c>
      <c r="F913" s="2"/>
      <c r="G913" s="2" t="n">
        <v>0</v>
      </c>
      <c r="H913" s="2" t="n">
        <v>670</v>
      </c>
      <c r="I913" s="2" t="s">
        <v>26</v>
      </c>
      <c r="J913" s="2" t="n">
        <v>0</v>
      </c>
      <c r="K913" s="2" t="n">
        <v>0</v>
      </c>
      <c r="L913" s="2" t="n">
        <v>0</v>
      </c>
      <c r="M913" s="2" t="s">
        <v>131</v>
      </c>
      <c r="N913" s="3" t="n">
        <v>33</v>
      </c>
      <c r="O913" s="3" t="n">
        <v>37.57</v>
      </c>
      <c r="P913" s="3" t="n">
        <v>20.656</v>
      </c>
      <c r="Q913" s="3" t="s">
        <v>557</v>
      </c>
      <c r="R913" s="2" t="s">
        <v>365</v>
      </c>
      <c r="S913" s="2"/>
      <c r="T913" s="4" t="n">
        <f aca="false">DATE(VALUE(MID(C913,7,4)),VALUE(MID(C913,4,2)),VALUE(MID(C913,1,2)))+TIME(VALUE(MID(C913,12,2)),VALUE(MID(C913,15,2)),0)</f>
        <v>35752.5465277778</v>
      </c>
      <c r="U913" s="2" t="str">
        <f aca="false">IF(AND(ISNUMBER(VALUE(MID(A913,7,1))),ISNUMBER(SEARCH("km",A913)),ISNUMBER(SEARCH("of",A913))),"Distance-location","Named-region")</f>
        <v>Named-region</v>
      </c>
      <c r="V913" s="2" t="str">
        <f aca="false">LOWER(M913)</f>
        <v>mwc</v>
      </c>
      <c r="W913" s="5" t="str">
        <f aca="false">IF(COUNTIFS($A$2:$A$1001,A913,$C$2:$C$1001,C913)&gt;1,"Duplicate","Unique")</f>
        <v>Unique</v>
      </c>
    </row>
    <row r="914" customFormat="false" ht="15" hidden="false" customHeight="false" outlineLevel="0" collapsed="false">
      <c r="A914" s="2" t="s">
        <v>2364</v>
      </c>
      <c r="B914" s="3" t="n">
        <v>7</v>
      </c>
      <c r="C914" s="2" t="s">
        <v>2365</v>
      </c>
      <c r="D914" s="2" t="n">
        <v>0</v>
      </c>
      <c r="E914" s="2" t="n">
        <v>6</v>
      </c>
      <c r="F914" s="2"/>
      <c r="G914" s="2" t="n">
        <v>0</v>
      </c>
      <c r="H914" s="2" t="n">
        <v>754</v>
      </c>
      <c r="I914" s="2" t="s">
        <v>26</v>
      </c>
      <c r="J914" s="2" t="n">
        <v>0</v>
      </c>
      <c r="K914" s="2" t="n">
        <v>0</v>
      </c>
      <c r="L914" s="2" t="n">
        <v>0</v>
      </c>
      <c r="M914" s="2" t="s">
        <v>131</v>
      </c>
      <c r="N914" s="3" t="n">
        <v>123.1</v>
      </c>
      <c r="O914" s="3" t="n">
        <v>-15.145</v>
      </c>
      <c r="P914" s="3" t="n">
        <v>167.375</v>
      </c>
      <c r="Q914" s="3" t="s">
        <v>108</v>
      </c>
      <c r="R914" s="2"/>
      <c r="S914" s="2" t="s">
        <v>29</v>
      </c>
      <c r="T914" s="4" t="n">
        <f aca="false">DATE(VALUE(MID(C914,7,4)),VALUE(MID(C914,4,2)),VALUE(MID(C914,1,2)))+TIME(VALUE(MID(C914,12,2)),VALUE(MID(C914,15,2)),0)</f>
        <v>35749.7909722222</v>
      </c>
      <c r="U914" s="2" t="str">
        <f aca="false">IF(AND(ISNUMBER(VALUE(MID(A914,7,1))),ISNUMBER(SEARCH("km",A914)),ISNUMBER(SEARCH("of",A914))),"Distance-location","Named-region")</f>
        <v>Named-region</v>
      </c>
      <c r="V914" s="2" t="str">
        <f aca="false">LOWER(M914)</f>
        <v>mwc</v>
      </c>
      <c r="W914" s="5" t="str">
        <f aca="false">IF(COUNTIFS($A$2:$A$1001,A914,$C$2:$C$1001,C914)&gt;1,"Duplicate","Unique")</f>
        <v>Unique</v>
      </c>
    </row>
    <row r="915" customFormat="false" ht="15" hidden="false" customHeight="false" outlineLevel="0" collapsed="false">
      <c r="A915" s="2" t="s">
        <v>2366</v>
      </c>
      <c r="B915" s="3" t="n">
        <v>6.5</v>
      </c>
      <c r="C915" s="2" t="s">
        <v>2367</v>
      </c>
      <c r="D915" s="2" t="n">
        <v>0</v>
      </c>
      <c r="E915" s="2" t="n">
        <v>4</v>
      </c>
      <c r="F915" s="2"/>
      <c r="G915" s="2" t="n">
        <v>0</v>
      </c>
      <c r="H915" s="2" t="n">
        <v>650</v>
      </c>
      <c r="I915" s="2" t="s">
        <v>26</v>
      </c>
      <c r="J915" s="2" t="n">
        <v>0</v>
      </c>
      <c r="K915" s="2" t="n">
        <v>0</v>
      </c>
      <c r="L915" s="2" t="n">
        <v>0</v>
      </c>
      <c r="M915" s="2" t="s">
        <v>158</v>
      </c>
      <c r="N915" s="3" t="n">
        <v>176.4</v>
      </c>
      <c r="O915" s="3" t="n">
        <v>13.849</v>
      </c>
      <c r="P915" s="3" t="n">
        <v>-88.808</v>
      </c>
      <c r="Q915" s="3" t="s">
        <v>2368</v>
      </c>
      <c r="R915" s="2"/>
      <c r="S915" s="2" t="s">
        <v>2116</v>
      </c>
      <c r="T915" s="4" t="n">
        <f aca="false">DATE(VALUE(MID(C915,7,4)),VALUE(MID(C915,4,2)),VALUE(MID(C915,1,2)))+TIME(VALUE(MID(C915,12,2)),VALUE(MID(C915,15,2)),0)</f>
        <v>35743.9555555556</v>
      </c>
      <c r="U915" s="2" t="str">
        <f aca="false">IF(AND(ISNUMBER(VALUE(MID(A915,7,1))),ISNUMBER(SEARCH("km",A915)),ISNUMBER(SEARCH("of",A915))),"Distance-location","Named-region")</f>
        <v>Named-region</v>
      </c>
      <c r="V915" s="2" t="str">
        <f aca="false">LOWER(M915)</f>
        <v>mwb</v>
      </c>
      <c r="W915" s="5" t="str">
        <f aca="false">IF(COUNTIFS($A$2:$A$1001,A915,$C$2:$C$1001,C915)&gt;1,"Duplicate","Unique")</f>
        <v>Unique</v>
      </c>
    </row>
    <row r="916" customFormat="false" ht="15" hidden="false" customHeight="false" outlineLevel="0" collapsed="false">
      <c r="A916" s="2" t="s">
        <v>2369</v>
      </c>
      <c r="B916" s="3" t="n">
        <v>7.5</v>
      </c>
      <c r="C916" s="2" t="s">
        <v>2370</v>
      </c>
      <c r="D916" s="2" t="n">
        <v>0</v>
      </c>
      <c r="E916" s="2" t="n">
        <v>7</v>
      </c>
      <c r="F916" s="2"/>
      <c r="G916" s="2" t="n">
        <v>0</v>
      </c>
      <c r="H916" s="2" t="n">
        <v>865</v>
      </c>
      <c r="I916" s="2" t="s">
        <v>26</v>
      </c>
      <c r="J916" s="2" t="n">
        <v>0</v>
      </c>
      <c r="K916" s="2" t="n">
        <v>0</v>
      </c>
      <c r="L916" s="2" t="n">
        <v>0</v>
      </c>
      <c r="M916" s="2" t="s">
        <v>131</v>
      </c>
      <c r="N916" s="3" t="n">
        <v>33</v>
      </c>
      <c r="O916" s="3" t="n">
        <v>35.069</v>
      </c>
      <c r="P916" s="3" t="n">
        <v>87.325</v>
      </c>
      <c r="Q916" s="3" t="s">
        <v>2371</v>
      </c>
      <c r="R916" s="2" t="s">
        <v>84</v>
      </c>
      <c r="S916" s="2" t="s">
        <v>188</v>
      </c>
      <c r="T916" s="4" t="n">
        <f aca="false">DATE(VALUE(MID(C916,7,4)),VALUE(MID(C916,4,2)),VALUE(MID(C916,1,2)))+TIME(VALUE(MID(C916,12,2)),VALUE(MID(C916,15,2)),0)</f>
        <v>35742.4180555556</v>
      </c>
      <c r="U916" s="2" t="str">
        <f aca="false">IF(AND(ISNUMBER(VALUE(MID(A916,7,1))),ISNUMBER(SEARCH("km",A916)),ISNUMBER(SEARCH("of",A916))),"Distance-location","Named-region")</f>
        <v>Named-region</v>
      </c>
      <c r="V916" s="2" t="str">
        <f aca="false">LOWER(M916)</f>
        <v>mwc</v>
      </c>
      <c r="W916" s="5" t="str">
        <f aca="false">IF(COUNTIFS($A$2:$A$1001,A916,$C$2:$C$1001,C916)&gt;1,"Duplicate","Unique")</f>
        <v>Unique</v>
      </c>
    </row>
    <row r="917" customFormat="false" ht="15" hidden="false" customHeight="false" outlineLevel="0" collapsed="false">
      <c r="A917" s="2" t="s">
        <v>2372</v>
      </c>
      <c r="B917" s="3" t="n">
        <v>7.2</v>
      </c>
      <c r="C917" s="2" t="s">
        <v>2373</v>
      </c>
      <c r="D917" s="2" t="n">
        <v>0</v>
      </c>
      <c r="E917" s="2" t="n">
        <v>7</v>
      </c>
      <c r="F917" s="2"/>
      <c r="G917" s="2" t="n">
        <v>0</v>
      </c>
      <c r="H917" s="2" t="n">
        <v>798</v>
      </c>
      <c r="I917" s="2" t="s">
        <v>26</v>
      </c>
      <c r="J917" s="2" t="n">
        <v>0</v>
      </c>
      <c r="K917" s="2" t="n">
        <v>0</v>
      </c>
      <c r="L917" s="2" t="n">
        <v>0</v>
      </c>
      <c r="M917" s="2" t="s">
        <v>131</v>
      </c>
      <c r="N917" s="3" t="n">
        <v>112</v>
      </c>
      <c r="O917" s="3" t="n">
        <v>-4.368</v>
      </c>
      <c r="P917" s="3" t="n">
        <v>-76.681</v>
      </c>
      <c r="Q917" s="3" t="s">
        <v>230</v>
      </c>
      <c r="R917" s="2" t="s">
        <v>37</v>
      </c>
      <c r="S917" s="2" t="s">
        <v>203</v>
      </c>
      <c r="T917" s="4" t="n">
        <f aca="false">DATE(VALUE(MID(C917,7,4)),VALUE(MID(C917,4,2)),VALUE(MID(C917,1,2)))+TIME(VALUE(MID(C917,12,2)),VALUE(MID(C917,15,2)),0)</f>
        <v>35731.2604166667</v>
      </c>
      <c r="U917" s="2" t="str">
        <f aca="false">IF(AND(ISNUMBER(VALUE(MID(A917,7,1))),ISNUMBER(SEARCH("km",A917)),ISNUMBER(SEARCH("of",A917))),"Distance-location","Named-region")</f>
        <v>Named-region</v>
      </c>
      <c r="V917" s="2" t="str">
        <f aca="false">LOWER(M917)</f>
        <v>mwc</v>
      </c>
      <c r="W917" s="5" t="str">
        <f aca="false">IF(COUNTIFS($A$2:$A$1001,A917,$C$2:$C$1001,C917)&gt;1,"Duplicate","Unique")</f>
        <v>Unique</v>
      </c>
    </row>
    <row r="918" customFormat="false" ht="15" hidden="false" customHeight="false" outlineLevel="0" collapsed="false">
      <c r="A918" s="2" t="s">
        <v>2374</v>
      </c>
      <c r="B918" s="3" t="n">
        <v>7.1</v>
      </c>
      <c r="C918" s="2" t="s">
        <v>2375</v>
      </c>
      <c r="D918" s="2" t="n">
        <v>0</v>
      </c>
      <c r="E918" s="2" t="n">
        <v>7</v>
      </c>
      <c r="F918" s="2"/>
      <c r="G918" s="2" t="n">
        <v>0</v>
      </c>
      <c r="H918" s="2" t="n">
        <v>776</v>
      </c>
      <c r="I918" s="2" t="s">
        <v>26</v>
      </c>
      <c r="J918" s="2" t="n">
        <v>0</v>
      </c>
      <c r="K918" s="2" t="n">
        <v>0</v>
      </c>
      <c r="L918" s="2" t="n">
        <v>0</v>
      </c>
      <c r="M918" s="2" t="s">
        <v>131</v>
      </c>
      <c r="N918" s="3" t="n">
        <v>58</v>
      </c>
      <c r="O918" s="3" t="n">
        <v>-30.933</v>
      </c>
      <c r="P918" s="3" t="n">
        <v>-71.22</v>
      </c>
      <c r="Q918" s="3" t="s">
        <v>2029</v>
      </c>
      <c r="R918" s="2" t="s">
        <v>37</v>
      </c>
      <c r="S918" s="2" t="s">
        <v>377</v>
      </c>
      <c r="T918" s="4" t="n">
        <f aca="false">DATE(VALUE(MID(C918,7,4)),VALUE(MID(C918,4,2)),VALUE(MID(C918,1,2)))+TIME(VALUE(MID(C918,12,2)),VALUE(MID(C918,15,2)),0)</f>
        <v>35718.04375</v>
      </c>
      <c r="U918" s="2" t="str">
        <f aca="false">IF(AND(ISNUMBER(VALUE(MID(A918,7,1))),ISNUMBER(SEARCH("km",A918)),ISNUMBER(SEARCH("of",A918))),"Distance-location","Named-region")</f>
        <v>Named-region</v>
      </c>
      <c r="V918" s="2" t="str">
        <f aca="false">LOWER(M918)</f>
        <v>mwc</v>
      </c>
      <c r="W918" s="5" t="str">
        <f aca="false">IF(COUNTIFS($A$2:$A$1001,A918,$C$2:$C$1001,C918)&gt;1,"Duplicate","Unique")</f>
        <v>Unique</v>
      </c>
    </row>
    <row r="919" customFormat="false" ht="15" hidden="false" customHeight="false" outlineLevel="0" collapsed="false">
      <c r="A919" s="2" t="s">
        <v>2376</v>
      </c>
      <c r="B919" s="3" t="n">
        <v>7.8</v>
      </c>
      <c r="C919" s="2" t="s">
        <v>2377</v>
      </c>
      <c r="D919" s="2" t="n">
        <v>0</v>
      </c>
      <c r="E919" s="2" t="n">
        <v>7</v>
      </c>
      <c r="F919" s="2"/>
      <c r="G919" s="2" t="n">
        <v>0</v>
      </c>
      <c r="H919" s="2" t="n">
        <v>936</v>
      </c>
      <c r="I919" s="2" t="s">
        <v>26</v>
      </c>
      <c r="J919" s="2" t="n">
        <v>0</v>
      </c>
      <c r="K919" s="2" t="n">
        <v>0</v>
      </c>
      <c r="L919" s="2" t="n">
        <v>0</v>
      </c>
      <c r="M919" s="2" t="s">
        <v>158</v>
      </c>
      <c r="N919" s="3" t="n">
        <v>167.3</v>
      </c>
      <c r="O919" s="3" t="n">
        <v>-22.101</v>
      </c>
      <c r="P919" s="3" t="n">
        <v>-176.772</v>
      </c>
      <c r="Q919" s="3" t="s">
        <v>329</v>
      </c>
      <c r="R919" s="2"/>
      <c r="S919" s="2"/>
      <c r="T919" s="4" t="n">
        <f aca="false">DATE(VALUE(MID(C919,7,4)),VALUE(MID(C919,4,2)),VALUE(MID(C919,1,2)))+TIME(VALUE(MID(C919,12,2)),VALUE(MID(C919,15,2)),0)</f>
        <v>35717.4118055556</v>
      </c>
      <c r="U919" s="2" t="str">
        <f aca="false">IF(AND(ISNUMBER(VALUE(MID(A919,7,1))),ISNUMBER(SEARCH("km",A919)),ISNUMBER(SEARCH("of",A919))),"Distance-location","Named-region")</f>
        <v>Named-region</v>
      </c>
      <c r="V919" s="2" t="str">
        <f aca="false">LOWER(M919)</f>
        <v>mwb</v>
      </c>
      <c r="W919" s="5" t="str">
        <f aca="false">IF(COUNTIFS($A$2:$A$1001,A919,$C$2:$C$1001,C919)&gt;1,"Duplicate","Unique")</f>
        <v>Unique</v>
      </c>
    </row>
    <row r="920" customFormat="false" ht="15" hidden="false" customHeight="false" outlineLevel="0" collapsed="false">
      <c r="A920" s="2" t="s">
        <v>2378</v>
      </c>
      <c r="B920" s="3" t="n">
        <v>6.5</v>
      </c>
      <c r="C920" s="2" t="s">
        <v>2379</v>
      </c>
      <c r="D920" s="2" t="n">
        <v>0</v>
      </c>
      <c r="E920" s="2" t="n">
        <v>5</v>
      </c>
      <c r="F920" s="2"/>
      <c r="G920" s="2" t="n">
        <v>0</v>
      </c>
      <c r="H920" s="2" t="n">
        <v>650</v>
      </c>
      <c r="I920" s="2" t="s">
        <v>26</v>
      </c>
      <c r="J920" s="2" t="n">
        <v>0</v>
      </c>
      <c r="K920" s="2" t="n">
        <v>0</v>
      </c>
      <c r="L920" s="2" t="n">
        <v>0</v>
      </c>
      <c r="M920" s="2" t="s">
        <v>158</v>
      </c>
      <c r="N920" s="3" t="n">
        <v>105.6</v>
      </c>
      <c r="O920" s="3" t="n">
        <v>9.79</v>
      </c>
      <c r="P920" s="3" t="n">
        <v>125.779</v>
      </c>
      <c r="Q920" s="3" t="s">
        <v>1893</v>
      </c>
      <c r="R920" s="2"/>
      <c r="S920" s="2" t="s">
        <v>195</v>
      </c>
      <c r="T920" s="4" t="n">
        <f aca="false">DATE(VALUE(MID(C920,7,4)),VALUE(MID(C920,4,2)),VALUE(MID(C920,1,2)))+TIME(VALUE(MID(C920,12,2)),VALUE(MID(C920,15,2)),0)</f>
        <v>35709.5208333333</v>
      </c>
      <c r="U920" s="2" t="str">
        <f aca="false">IF(AND(ISNUMBER(VALUE(MID(A920,7,1))),ISNUMBER(SEARCH("km",A920)),ISNUMBER(SEARCH("of",A920))),"Distance-location","Named-region")</f>
        <v>Named-region</v>
      </c>
      <c r="V920" s="2" t="str">
        <f aca="false">LOWER(M920)</f>
        <v>mwb</v>
      </c>
      <c r="W920" s="5" t="str">
        <f aca="false">IF(COUNTIFS($A$2:$A$1001,A920,$C$2:$C$1001,C920)&gt;1,"Duplicate","Unique")</f>
        <v>Unique</v>
      </c>
    </row>
    <row r="921" customFormat="false" ht="15" hidden="false" customHeight="false" outlineLevel="0" collapsed="false">
      <c r="A921" s="2" t="s">
        <v>2380</v>
      </c>
      <c r="B921" s="3" t="n">
        <v>6.8</v>
      </c>
      <c r="C921" s="2" t="s">
        <v>2381</v>
      </c>
      <c r="D921" s="2" t="n">
        <v>0</v>
      </c>
      <c r="E921" s="2" t="n">
        <v>5</v>
      </c>
      <c r="F921" s="2"/>
      <c r="G921" s="2" t="n">
        <v>0</v>
      </c>
      <c r="H921" s="2" t="n">
        <v>711</v>
      </c>
      <c r="I921" s="2" t="s">
        <v>26</v>
      </c>
      <c r="J921" s="2" t="n">
        <v>0</v>
      </c>
      <c r="K921" s="2" t="n">
        <v>0</v>
      </c>
      <c r="L921" s="2" t="n">
        <v>0</v>
      </c>
      <c r="M921" s="2" t="s">
        <v>158</v>
      </c>
      <c r="N921" s="3" t="n">
        <v>198.7</v>
      </c>
      <c r="O921" s="3" t="n">
        <v>3.849</v>
      </c>
      <c r="P921" s="3" t="n">
        <v>-75.749</v>
      </c>
      <c r="Q921" s="3" t="s">
        <v>2382</v>
      </c>
      <c r="R921" s="2" t="s">
        <v>37</v>
      </c>
      <c r="S921" s="2" t="s">
        <v>58</v>
      </c>
      <c r="T921" s="4" t="n">
        <f aca="false">DATE(VALUE(MID(C921,7,4)),VALUE(MID(C921,4,2)),VALUE(MID(C921,1,2)))+TIME(VALUE(MID(C921,12,2)),VALUE(MID(C921,15,2)),0)</f>
        <v>35675.5090277778</v>
      </c>
      <c r="U921" s="2" t="str">
        <f aca="false">IF(AND(ISNUMBER(VALUE(MID(A921,7,1))),ISNUMBER(SEARCH("km",A921)),ISNUMBER(SEARCH("of",A921))),"Distance-location","Named-region")</f>
        <v>Named-region</v>
      </c>
      <c r="V921" s="2" t="str">
        <f aca="false">LOWER(M921)</f>
        <v>mwb</v>
      </c>
      <c r="W921" s="5" t="str">
        <f aca="false">IF(COUNTIFS($A$2:$A$1001,A921,$C$2:$C$1001,C921)&gt;1,"Duplicate","Unique")</f>
        <v>Unique</v>
      </c>
    </row>
    <row r="922" customFormat="false" ht="15" hidden="false" customHeight="false" outlineLevel="0" collapsed="false">
      <c r="A922" s="2" t="s">
        <v>2383</v>
      </c>
      <c r="B922" s="3" t="n">
        <v>6.6</v>
      </c>
      <c r="C922" s="2" t="s">
        <v>2384</v>
      </c>
      <c r="D922" s="2" t="n">
        <v>0</v>
      </c>
      <c r="E922" s="2" t="n">
        <v>6</v>
      </c>
      <c r="F922" s="2"/>
      <c r="G922" s="2" t="n">
        <v>0</v>
      </c>
      <c r="H922" s="2" t="n">
        <v>670</v>
      </c>
      <c r="I922" s="2" t="s">
        <v>26</v>
      </c>
      <c r="J922" s="2" t="n">
        <v>0</v>
      </c>
      <c r="K922" s="2" t="n">
        <v>0</v>
      </c>
      <c r="L922" s="2" t="n">
        <v>0</v>
      </c>
      <c r="M922" s="2" t="s">
        <v>131</v>
      </c>
      <c r="N922" s="3" t="n">
        <v>22.8</v>
      </c>
      <c r="O922" s="3" t="n">
        <v>-3.562</v>
      </c>
      <c r="P922" s="3" t="n">
        <v>144.362</v>
      </c>
      <c r="Q922" s="3" t="s">
        <v>667</v>
      </c>
      <c r="R922" s="2"/>
      <c r="S922" s="2" t="s">
        <v>89</v>
      </c>
      <c r="T922" s="4" t="n">
        <f aca="false">DATE(VALUE(MID(C922,7,4)),VALUE(MID(C922,4,2)),VALUE(MID(C922,1,2)))+TIME(VALUE(MID(C922,12,2)),VALUE(MID(C922,15,2)),0)</f>
        <v>35671.3430555556</v>
      </c>
      <c r="U922" s="2" t="str">
        <f aca="false">IF(AND(ISNUMBER(VALUE(MID(A922,7,1))),ISNUMBER(SEARCH("km",A922)),ISNUMBER(SEARCH("of",A922))),"Distance-location","Named-region")</f>
        <v>Named-region</v>
      </c>
      <c r="V922" s="2" t="str">
        <f aca="false">LOWER(M922)</f>
        <v>mwc</v>
      </c>
      <c r="W922" s="5" t="str">
        <f aca="false">IF(COUNTIFS($A$2:$A$1001,A922,$C$2:$C$1001,C922)&gt;1,"Duplicate","Unique")</f>
        <v>Unique</v>
      </c>
    </row>
    <row r="923" customFormat="false" ht="15" hidden="false" customHeight="false" outlineLevel="0" collapsed="false">
      <c r="A923" s="2" t="s">
        <v>2385</v>
      </c>
      <c r="B923" s="3" t="n">
        <v>6.9</v>
      </c>
      <c r="C923" s="2" t="s">
        <v>2386</v>
      </c>
      <c r="D923" s="2" t="n">
        <v>0</v>
      </c>
      <c r="E923" s="2" t="n">
        <v>6</v>
      </c>
      <c r="F923" s="2"/>
      <c r="G923" s="2" t="n">
        <v>0</v>
      </c>
      <c r="H923" s="2" t="n">
        <v>732</v>
      </c>
      <c r="I923" s="2" t="s">
        <v>26</v>
      </c>
      <c r="J923" s="2" t="n">
        <v>0</v>
      </c>
      <c r="K923" s="2" t="n">
        <v>0</v>
      </c>
      <c r="L923" s="2" t="n">
        <v>0</v>
      </c>
      <c r="M923" s="2" t="s">
        <v>158</v>
      </c>
      <c r="N923" s="3" t="n">
        <v>33</v>
      </c>
      <c r="O923" s="3" t="n">
        <v>16.333</v>
      </c>
      <c r="P923" s="3" t="n">
        <v>-98.216</v>
      </c>
      <c r="Q923" s="3" t="s">
        <v>2387</v>
      </c>
      <c r="R923" s="2" t="s">
        <v>168</v>
      </c>
      <c r="S923" s="2" t="s">
        <v>169</v>
      </c>
      <c r="T923" s="4" t="n">
        <f aca="false">DATE(VALUE(MID(C923,7,4)),VALUE(MID(C923,4,2)),VALUE(MID(C923,1,2)))+TIME(VALUE(MID(C923,12,2)),VALUE(MID(C923,15,2)),0)</f>
        <v>35630.5986111111</v>
      </c>
      <c r="U923" s="2" t="str">
        <f aca="false">IF(AND(ISNUMBER(VALUE(MID(A923,7,1))),ISNUMBER(SEARCH("km",A923)),ISNUMBER(SEARCH("of",A923))),"Distance-location","Named-region")</f>
        <v>Named-region</v>
      </c>
      <c r="V923" s="2" t="str">
        <f aca="false">LOWER(M923)</f>
        <v>mwb</v>
      </c>
      <c r="W923" s="5" t="str">
        <f aca="false">IF(COUNTIFS($A$2:$A$1001,A923,$C$2:$C$1001,C923)&gt;1,"Duplicate","Unique")</f>
        <v>Unique</v>
      </c>
    </row>
    <row r="924" customFormat="false" ht="15" hidden="false" customHeight="false" outlineLevel="0" collapsed="false">
      <c r="A924" s="2" t="s">
        <v>2388</v>
      </c>
      <c r="B924" s="3" t="n">
        <v>7</v>
      </c>
      <c r="C924" s="2" t="s">
        <v>2389</v>
      </c>
      <c r="D924" s="2" t="n">
        <v>0</v>
      </c>
      <c r="E924" s="2" t="n">
        <v>8</v>
      </c>
      <c r="F924" s="2"/>
      <c r="G924" s="2" t="n">
        <v>0</v>
      </c>
      <c r="H924" s="2" t="n">
        <v>754</v>
      </c>
      <c r="I924" s="2" t="s">
        <v>26</v>
      </c>
      <c r="J924" s="2" t="n">
        <v>0</v>
      </c>
      <c r="K924" s="2" t="n">
        <v>0</v>
      </c>
      <c r="L924" s="2" t="n">
        <v>0</v>
      </c>
      <c r="M924" s="2" t="s">
        <v>131</v>
      </c>
      <c r="N924" s="3" t="n">
        <v>19.9</v>
      </c>
      <c r="O924" s="3" t="n">
        <v>10.598</v>
      </c>
      <c r="P924" s="3" t="n">
        <v>-63.486</v>
      </c>
      <c r="Q924" s="3" t="s">
        <v>600</v>
      </c>
      <c r="R924" s="2"/>
      <c r="S924" s="2" t="s">
        <v>601</v>
      </c>
      <c r="T924" s="4" t="n">
        <f aca="false">DATE(VALUE(MID(C924,7,4)),VALUE(MID(C924,4,2)),VALUE(MID(C924,1,2)))+TIME(VALUE(MID(C924,12,2)),VALUE(MID(C924,15,2)),0)</f>
        <v>35620.8083333333</v>
      </c>
      <c r="U924" s="2" t="str">
        <f aca="false">IF(AND(ISNUMBER(VALUE(MID(A924,7,1))),ISNUMBER(SEARCH("km",A924)),ISNUMBER(SEARCH("of",A924))),"Distance-location","Named-region")</f>
        <v>Named-region</v>
      </c>
      <c r="V924" s="2" t="str">
        <f aca="false">LOWER(M924)</f>
        <v>mwc</v>
      </c>
      <c r="W924" s="5" t="str">
        <f aca="false">IF(COUNTIFS($A$2:$A$1001,A924,$C$2:$C$1001,C924)&gt;1,"Duplicate","Unique")</f>
        <v>Unique</v>
      </c>
    </row>
    <row r="925" customFormat="false" ht="15" hidden="false" customHeight="false" outlineLevel="0" collapsed="false">
      <c r="A925" s="2" t="s">
        <v>2390</v>
      </c>
      <c r="B925" s="3" t="n">
        <v>6.8</v>
      </c>
      <c r="C925" s="2" t="s">
        <v>2391</v>
      </c>
      <c r="D925" s="2" t="n">
        <v>0</v>
      </c>
      <c r="E925" s="2" t="n">
        <v>6</v>
      </c>
      <c r="F925" s="2"/>
      <c r="G925" s="2" t="n">
        <v>0</v>
      </c>
      <c r="H925" s="2" t="n">
        <v>711</v>
      </c>
      <c r="I925" s="2" t="s">
        <v>26</v>
      </c>
      <c r="J925" s="2" t="n">
        <v>0</v>
      </c>
      <c r="K925" s="2" t="n">
        <v>0</v>
      </c>
      <c r="L925" s="2" t="n">
        <v>0</v>
      </c>
      <c r="M925" s="2" t="s">
        <v>131</v>
      </c>
      <c r="N925" s="3" t="n">
        <v>19</v>
      </c>
      <c r="O925" s="3" t="n">
        <v>-30.058</v>
      </c>
      <c r="P925" s="3" t="n">
        <v>-71.872</v>
      </c>
      <c r="Q925" s="3" t="s">
        <v>527</v>
      </c>
      <c r="R925" s="2"/>
      <c r="S925" s="2"/>
      <c r="T925" s="4" t="n">
        <f aca="false">DATE(VALUE(MID(C925,7,4)),VALUE(MID(C925,4,2)),VALUE(MID(C925,1,2)))+TIME(VALUE(MID(C925,12,2)),VALUE(MID(C925,15,2)),0)</f>
        <v>35617.4125</v>
      </c>
      <c r="U925" s="2" t="str">
        <f aca="false">IF(AND(ISNUMBER(VALUE(MID(A925,7,1))),ISNUMBER(SEARCH("km",A925)),ISNUMBER(SEARCH("of",A925))),"Distance-location","Named-region")</f>
        <v>Named-region</v>
      </c>
      <c r="V925" s="2" t="str">
        <f aca="false">LOWER(M925)</f>
        <v>mwc</v>
      </c>
      <c r="W925" s="5" t="str">
        <f aca="false">IF(COUNTIFS($A$2:$A$1001,A925,$C$2:$C$1001,C925)&gt;1,"Duplicate","Unique")</f>
        <v>Unique</v>
      </c>
    </row>
    <row r="926" customFormat="false" ht="15" hidden="false" customHeight="false" outlineLevel="0" collapsed="false">
      <c r="A926" s="2" t="s">
        <v>2392</v>
      </c>
      <c r="B926" s="3" t="n">
        <v>6.5</v>
      </c>
      <c r="C926" s="2" t="s">
        <v>2393</v>
      </c>
      <c r="D926" s="2" t="n">
        <v>0</v>
      </c>
      <c r="E926" s="2" t="n">
        <v>6</v>
      </c>
      <c r="F926" s="2"/>
      <c r="G926" s="2" t="n">
        <v>0</v>
      </c>
      <c r="H926" s="2" t="n">
        <v>650</v>
      </c>
      <c r="I926" s="2" t="s">
        <v>26</v>
      </c>
      <c r="J926" s="2" t="n">
        <v>0</v>
      </c>
      <c r="K926" s="2" t="n">
        <v>0</v>
      </c>
      <c r="L926" s="2" t="n">
        <v>0</v>
      </c>
      <c r="M926" s="2" t="s">
        <v>131</v>
      </c>
      <c r="N926" s="3" t="n">
        <v>70</v>
      </c>
      <c r="O926" s="3" t="n">
        <v>18.684</v>
      </c>
      <c r="P926" s="3" t="n">
        <v>-101.604</v>
      </c>
      <c r="Q926" s="3" t="s">
        <v>2394</v>
      </c>
      <c r="R926" s="2" t="s">
        <v>168</v>
      </c>
      <c r="S926" s="2" t="s">
        <v>169</v>
      </c>
      <c r="T926" s="4" t="n">
        <f aca="false">DATE(VALUE(MID(C926,7,4)),VALUE(MID(C926,4,2)),VALUE(MID(C926,1,2)))+TIME(VALUE(MID(C926,12,2)),VALUE(MID(C926,15,2)),0)</f>
        <v>35572.3263888889</v>
      </c>
      <c r="U926" s="2" t="str">
        <f aca="false">IF(AND(ISNUMBER(VALUE(MID(A926,7,1))),ISNUMBER(SEARCH("km",A926)),ISNUMBER(SEARCH("of",A926))),"Distance-location","Named-region")</f>
        <v>Named-region</v>
      </c>
      <c r="V926" s="2" t="str">
        <f aca="false">LOWER(M926)</f>
        <v>mwc</v>
      </c>
      <c r="W926" s="5" t="str">
        <f aca="false">IF(COUNTIFS($A$2:$A$1001,A926,$C$2:$C$1001,C926)&gt;1,"Duplicate","Unique")</f>
        <v>Unique</v>
      </c>
    </row>
    <row r="927" customFormat="false" ht="15" hidden="false" customHeight="false" outlineLevel="0" collapsed="false">
      <c r="A927" s="2" t="s">
        <v>2395</v>
      </c>
      <c r="B927" s="3" t="n">
        <v>6.8</v>
      </c>
      <c r="C927" s="2" t="s">
        <v>2396</v>
      </c>
      <c r="D927" s="2" t="n">
        <v>0</v>
      </c>
      <c r="E927" s="2" t="n">
        <v>6</v>
      </c>
      <c r="F927" s="2"/>
      <c r="G927" s="2" t="n">
        <v>0</v>
      </c>
      <c r="H927" s="2" t="n">
        <v>711</v>
      </c>
      <c r="I927" s="2" t="s">
        <v>26</v>
      </c>
      <c r="J927" s="2" t="n">
        <v>0</v>
      </c>
      <c r="K927" s="2" t="n">
        <v>0</v>
      </c>
      <c r="L927" s="2" t="n">
        <v>0</v>
      </c>
      <c r="M927" s="2" t="s">
        <v>131</v>
      </c>
      <c r="N927" s="3" t="n">
        <v>57</v>
      </c>
      <c r="O927" s="3" t="n">
        <v>-20.438</v>
      </c>
      <c r="P927" s="3" t="n">
        <v>169.287</v>
      </c>
      <c r="Q927" s="3" t="s">
        <v>181</v>
      </c>
      <c r="R927" s="2"/>
      <c r="S927" s="2"/>
      <c r="T927" s="4" t="n">
        <f aca="false">DATE(VALUE(MID(C927,7,4)),VALUE(MID(C927,4,2)),VALUE(MID(C927,1,2)))+TIME(VALUE(MID(C927,12,2)),VALUE(MID(C927,15,2)),0)</f>
        <v>35571.5902777778</v>
      </c>
      <c r="U927" s="2" t="str">
        <f aca="false">IF(AND(ISNUMBER(VALUE(MID(A927,7,1))),ISNUMBER(SEARCH("km",A927)),ISNUMBER(SEARCH("of",A927))),"Distance-location","Named-region")</f>
        <v>Named-region</v>
      </c>
      <c r="V927" s="2" t="str">
        <f aca="false">LOWER(M927)</f>
        <v>mwc</v>
      </c>
      <c r="W927" s="5" t="str">
        <f aca="false">IF(COUNTIFS($A$2:$A$1001,A927,$C$2:$C$1001,C927)&gt;1,"Duplicate","Unique")</f>
        <v>Unique</v>
      </c>
    </row>
    <row r="928" customFormat="false" ht="15" hidden="false" customHeight="false" outlineLevel="0" collapsed="false">
      <c r="A928" s="2" t="s">
        <v>2397</v>
      </c>
      <c r="B928" s="3" t="n">
        <v>6.5</v>
      </c>
      <c r="C928" s="2" t="s">
        <v>2398</v>
      </c>
      <c r="D928" s="2" t="n">
        <v>0</v>
      </c>
      <c r="E928" s="2" t="n">
        <v>4</v>
      </c>
      <c r="F928" s="2"/>
      <c r="G928" s="2" t="n">
        <v>0</v>
      </c>
      <c r="H928" s="2" t="n">
        <v>650</v>
      </c>
      <c r="I928" s="2" t="s">
        <v>26</v>
      </c>
      <c r="J928" s="2" t="n">
        <v>0</v>
      </c>
      <c r="K928" s="2" t="n">
        <v>0</v>
      </c>
      <c r="L928" s="2" t="n">
        <v>0</v>
      </c>
      <c r="M928" s="2" t="s">
        <v>158</v>
      </c>
      <c r="N928" s="3" t="n">
        <v>196</v>
      </c>
      <c r="O928" s="3" t="n">
        <v>36.411</v>
      </c>
      <c r="P928" s="3" t="n">
        <v>70.945</v>
      </c>
      <c r="Q928" s="3" t="s">
        <v>95</v>
      </c>
      <c r="R928" s="2" t="s">
        <v>84</v>
      </c>
      <c r="S928" s="2" t="s">
        <v>96</v>
      </c>
      <c r="T928" s="4" t="n">
        <f aca="false">DATE(VALUE(MID(C928,7,4)),VALUE(MID(C928,4,2)),VALUE(MID(C928,1,2)))+TIME(VALUE(MID(C928,12,2)),VALUE(MID(C928,15,2)),0)</f>
        <v>35563.5923611111</v>
      </c>
      <c r="U928" s="2" t="str">
        <f aca="false">IF(AND(ISNUMBER(VALUE(MID(A928,7,1))),ISNUMBER(SEARCH("km",A928)),ISNUMBER(SEARCH("of",A928))),"Distance-location","Named-region")</f>
        <v>Named-region</v>
      </c>
      <c r="V928" s="2" t="str">
        <f aca="false">LOWER(M928)</f>
        <v>mwb</v>
      </c>
      <c r="W928" s="5" t="str">
        <f aca="false">IF(COUNTIFS($A$2:$A$1001,A928,$C$2:$C$1001,C928)&gt;1,"Duplicate","Unique")</f>
        <v>Unique</v>
      </c>
    </row>
    <row r="929" customFormat="false" ht="15" hidden="false" customHeight="false" outlineLevel="0" collapsed="false">
      <c r="A929" s="2" t="s">
        <v>2399</v>
      </c>
      <c r="B929" s="3" t="n">
        <v>7.3</v>
      </c>
      <c r="C929" s="2" t="s">
        <v>2400</v>
      </c>
      <c r="D929" s="2" t="n">
        <v>0</v>
      </c>
      <c r="E929" s="2" t="n">
        <v>9</v>
      </c>
      <c r="F929" s="2"/>
      <c r="G929" s="2" t="n">
        <v>0</v>
      </c>
      <c r="H929" s="2" t="n">
        <v>820</v>
      </c>
      <c r="I929" s="2" t="s">
        <v>26</v>
      </c>
      <c r="J929" s="2" t="n">
        <v>0</v>
      </c>
      <c r="K929" s="2" t="n">
        <v>0</v>
      </c>
      <c r="L929" s="2" t="n">
        <v>0</v>
      </c>
      <c r="M929" s="2" t="s">
        <v>158</v>
      </c>
      <c r="N929" s="3" t="n">
        <v>10</v>
      </c>
      <c r="O929" s="3" t="n">
        <v>33.825</v>
      </c>
      <c r="P929" s="3" t="n">
        <v>59.809</v>
      </c>
      <c r="Q929" s="3" t="s">
        <v>2401</v>
      </c>
      <c r="R929" s="2" t="s">
        <v>84</v>
      </c>
      <c r="S929" s="2" t="s">
        <v>664</v>
      </c>
      <c r="T929" s="4" t="n">
        <f aca="false">DATE(VALUE(MID(C929,7,4)),VALUE(MID(C929,4,2)),VALUE(MID(C929,1,2)))+TIME(VALUE(MID(C929,12,2)),VALUE(MID(C929,15,2)),0)</f>
        <v>35560.33125</v>
      </c>
      <c r="U929" s="2" t="str">
        <f aca="false">IF(AND(ISNUMBER(VALUE(MID(A929,7,1))),ISNUMBER(SEARCH("km",A929)),ISNUMBER(SEARCH("of",A929))),"Distance-location","Named-region")</f>
        <v>Named-region</v>
      </c>
      <c r="V929" s="2" t="str">
        <f aca="false">LOWER(M929)</f>
        <v>mwb</v>
      </c>
      <c r="W929" s="5" t="str">
        <f aca="false">IF(COUNTIFS($A$2:$A$1001,A929,$C$2:$C$1001,C929)&gt;1,"Duplicate","Unique")</f>
        <v>Unique</v>
      </c>
    </row>
    <row r="930" customFormat="false" ht="15" hidden="false" customHeight="false" outlineLevel="0" collapsed="false">
      <c r="A930" s="2" t="s">
        <v>2402</v>
      </c>
      <c r="B930" s="3" t="n">
        <v>6.5</v>
      </c>
      <c r="C930" s="2" t="s">
        <v>2403</v>
      </c>
      <c r="D930" s="2" t="n">
        <v>0</v>
      </c>
      <c r="E930" s="2" t="n">
        <v>6</v>
      </c>
      <c r="F930" s="2"/>
      <c r="G930" s="2" t="n">
        <v>0</v>
      </c>
      <c r="H930" s="2" t="n">
        <v>650</v>
      </c>
      <c r="I930" s="2" t="s">
        <v>26</v>
      </c>
      <c r="J930" s="2" t="n">
        <v>0</v>
      </c>
      <c r="K930" s="2" t="n">
        <v>0</v>
      </c>
      <c r="L930" s="2" t="n">
        <v>0</v>
      </c>
      <c r="M930" s="2" t="s">
        <v>131</v>
      </c>
      <c r="N930" s="3" t="n">
        <v>100.8</v>
      </c>
      <c r="O930" s="3" t="n">
        <v>13.986</v>
      </c>
      <c r="P930" s="3" t="n">
        <v>144.901</v>
      </c>
      <c r="Q930" s="3" t="s">
        <v>2404</v>
      </c>
      <c r="R930" s="2"/>
      <c r="S930" s="2"/>
      <c r="T930" s="4" t="n">
        <f aca="false">DATE(VALUE(MID(C930,7,4)),VALUE(MID(C930,4,2)),VALUE(MID(C930,1,2)))+TIME(VALUE(MID(C930,12,2)),VALUE(MID(C930,15,2)),0)</f>
        <v>35543.8222222222</v>
      </c>
      <c r="U930" s="2" t="str">
        <f aca="false">IF(AND(ISNUMBER(VALUE(MID(A930,7,1))),ISNUMBER(SEARCH("km",A930)),ISNUMBER(SEARCH("of",A930))),"Distance-location","Named-region")</f>
        <v>Named-region</v>
      </c>
      <c r="V930" s="2" t="str">
        <f aca="false">LOWER(M930)</f>
        <v>mwc</v>
      </c>
      <c r="W930" s="5" t="str">
        <f aca="false">IF(COUNTIFS($A$2:$A$1001,A930,$C$2:$C$1001,C930)&gt;1,"Duplicate","Unique")</f>
        <v>Unique</v>
      </c>
    </row>
    <row r="931" customFormat="false" ht="28.35" hidden="false" customHeight="false" outlineLevel="0" collapsed="false">
      <c r="A931" s="2" t="s">
        <v>2405</v>
      </c>
      <c r="B931" s="3" t="n">
        <v>6.7</v>
      </c>
      <c r="C931" s="2" t="s">
        <v>2406</v>
      </c>
      <c r="D931" s="2" t="n">
        <v>0</v>
      </c>
      <c r="E931" s="2" t="n">
        <v>7</v>
      </c>
      <c r="F931" s="2"/>
      <c r="G931" s="2" t="n">
        <v>0</v>
      </c>
      <c r="H931" s="2" t="n">
        <v>691</v>
      </c>
      <c r="I931" s="2" t="s">
        <v>26</v>
      </c>
      <c r="J931" s="2" t="n">
        <v>0</v>
      </c>
      <c r="K931" s="2" t="n">
        <v>0</v>
      </c>
      <c r="L931" s="2" t="n">
        <v>0</v>
      </c>
      <c r="M931" s="2" t="s">
        <v>158</v>
      </c>
      <c r="N931" s="3" t="n">
        <v>5</v>
      </c>
      <c r="O931" s="3" t="n">
        <v>11.112</v>
      </c>
      <c r="P931" s="3" t="n">
        <v>-60.892</v>
      </c>
      <c r="Q931" s="3" t="s">
        <v>2407</v>
      </c>
      <c r="R931" s="2"/>
      <c r="S931" s="2" t="s">
        <v>2408</v>
      </c>
      <c r="T931" s="4" t="n">
        <f aca="false">DATE(VALUE(MID(C931,7,4)),VALUE(MID(C931,4,2)),VALUE(MID(C931,1,2)))+TIME(VALUE(MID(C931,12,2)),VALUE(MID(C931,15,2)),0)</f>
        <v>35542.3965277778</v>
      </c>
      <c r="U931" s="2" t="str">
        <f aca="false">IF(AND(ISNUMBER(VALUE(MID(A931,7,1))),ISNUMBER(SEARCH("km",A931)),ISNUMBER(SEARCH("of",A931))),"Distance-location","Named-region")</f>
        <v>Named-region</v>
      </c>
      <c r="V931" s="2" t="str">
        <f aca="false">LOWER(M931)</f>
        <v>mwb</v>
      </c>
      <c r="W931" s="5" t="str">
        <f aca="false">IF(COUNTIFS($A$2:$A$1001,A931,$C$2:$C$1001,C931)&gt;1,"Duplicate","Unique")</f>
        <v>Unique</v>
      </c>
    </row>
    <row r="932" customFormat="false" ht="15" hidden="false" customHeight="false" outlineLevel="0" collapsed="false">
      <c r="A932" s="2" t="s">
        <v>2409</v>
      </c>
      <c r="B932" s="3" t="n">
        <v>7.7</v>
      </c>
      <c r="C932" s="2" t="s">
        <v>2410</v>
      </c>
      <c r="D932" s="2" t="n">
        <v>0</v>
      </c>
      <c r="E932" s="2" t="n">
        <v>6</v>
      </c>
      <c r="F932" s="2"/>
      <c r="G932" s="2" t="n">
        <v>0</v>
      </c>
      <c r="H932" s="2" t="n">
        <v>912</v>
      </c>
      <c r="I932" s="2" t="s">
        <v>26</v>
      </c>
      <c r="J932" s="2" t="n">
        <v>0</v>
      </c>
      <c r="K932" s="2" t="n">
        <v>0</v>
      </c>
      <c r="L932" s="2" t="n">
        <v>0</v>
      </c>
      <c r="M932" s="2" t="s">
        <v>131</v>
      </c>
      <c r="N932" s="3" t="n">
        <v>33</v>
      </c>
      <c r="O932" s="3" t="n">
        <v>-12.584</v>
      </c>
      <c r="P932" s="3" t="n">
        <v>166.676</v>
      </c>
      <c r="Q932" s="3" t="s">
        <v>28</v>
      </c>
      <c r="R932" s="2"/>
      <c r="S932" s="2"/>
      <c r="T932" s="4" t="n">
        <f aca="false">DATE(VALUE(MID(C932,7,4)),VALUE(MID(C932,4,2)),VALUE(MID(C932,1,2)))+TIME(VALUE(MID(C932,12,2)),VALUE(MID(C932,15,2)),0)</f>
        <v>35541.5013888889</v>
      </c>
      <c r="U932" s="2" t="str">
        <f aca="false">IF(AND(ISNUMBER(VALUE(MID(A932,7,1))),ISNUMBER(SEARCH("km",A932)),ISNUMBER(SEARCH("of",A932))),"Distance-location","Named-region")</f>
        <v>Named-region</v>
      </c>
      <c r="V932" s="2" t="str">
        <f aca="false">LOWER(M932)</f>
        <v>mwc</v>
      </c>
      <c r="W932" s="5" t="str">
        <f aca="false">IF(COUNTIFS($A$2:$A$1001,A932,$C$2:$C$1001,C932)&gt;1,"Duplicate","Unique")</f>
        <v>Unique</v>
      </c>
    </row>
    <row r="933" customFormat="false" ht="15" hidden="false" customHeight="false" outlineLevel="0" collapsed="false">
      <c r="A933" s="2" t="s">
        <v>2411</v>
      </c>
      <c r="B933" s="3" t="n">
        <v>6.5</v>
      </c>
      <c r="C933" s="2" t="s">
        <v>2412</v>
      </c>
      <c r="D933" s="2" t="n">
        <v>0</v>
      </c>
      <c r="E933" s="2" t="n">
        <v>6</v>
      </c>
      <c r="F933" s="2"/>
      <c r="G933" s="2" t="n">
        <v>0</v>
      </c>
      <c r="H933" s="2" t="n">
        <v>650</v>
      </c>
      <c r="I933" s="2" t="s">
        <v>26</v>
      </c>
      <c r="J933" s="2" t="n">
        <v>0</v>
      </c>
      <c r="K933" s="2" t="n">
        <v>0</v>
      </c>
      <c r="L933" s="2" t="n">
        <v>0</v>
      </c>
      <c r="M933" s="2" t="s">
        <v>131</v>
      </c>
      <c r="N933" s="3" t="n">
        <v>69.1</v>
      </c>
      <c r="O933" s="3" t="n">
        <v>-6.485</v>
      </c>
      <c r="P933" s="3" t="n">
        <v>147.408</v>
      </c>
      <c r="Q933" s="3" t="s">
        <v>1015</v>
      </c>
      <c r="R933" s="2"/>
      <c r="S933" s="2" t="s">
        <v>89</v>
      </c>
      <c r="T933" s="4" t="n">
        <f aca="false">DATE(VALUE(MID(C933,7,4)),VALUE(MID(C933,4,2)),VALUE(MID(C933,1,2)))+TIME(VALUE(MID(C933,12,2)),VALUE(MID(C933,15,2)),0)</f>
        <v>35525.5159722222</v>
      </c>
      <c r="U933" s="2" t="str">
        <f aca="false">IF(AND(ISNUMBER(VALUE(MID(A933,7,1))),ISNUMBER(SEARCH("km",A933)),ISNUMBER(SEARCH("of",A933))),"Distance-location","Named-region")</f>
        <v>Named-region</v>
      </c>
      <c r="V933" s="2" t="str">
        <f aca="false">LOWER(M933)</f>
        <v>mwc</v>
      </c>
      <c r="W933" s="5" t="str">
        <f aca="false">IF(COUNTIFS($A$2:$A$1001,A933,$C$2:$C$1001,C933)&gt;1,"Duplicate","Unique")</f>
        <v>Unique</v>
      </c>
    </row>
    <row r="934" customFormat="false" ht="15" hidden="false" customHeight="false" outlineLevel="0" collapsed="false">
      <c r="A934" s="2" t="s">
        <v>2413</v>
      </c>
      <c r="B934" s="3" t="n">
        <v>6.9</v>
      </c>
      <c r="C934" s="2" t="s">
        <v>2414</v>
      </c>
      <c r="D934" s="2" t="n">
        <v>0</v>
      </c>
      <c r="E934" s="2" t="n">
        <v>5</v>
      </c>
      <c r="F934" s="2"/>
      <c r="G934" s="2" t="n">
        <v>0</v>
      </c>
      <c r="H934" s="2" t="n">
        <v>732</v>
      </c>
      <c r="I934" s="2" t="s">
        <v>26</v>
      </c>
      <c r="J934" s="2" t="n">
        <v>0</v>
      </c>
      <c r="K934" s="2" t="n">
        <v>0</v>
      </c>
      <c r="L934" s="2" t="n">
        <v>0</v>
      </c>
      <c r="M934" s="2" t="s">
        <v>158</v>
      </c>
      <c r="N934" s="3" t="n">
        <v>10</v>
      </c>
      <c r="O934" s="3" t="n">
        <v>7.742</v>
      </c>
      <c r="P934" s="3" t="n">
        <v>127.647</v>
      </c>
      <c r="Q934" s="3" t="s">
        <v>2415</v>
      </c>
      <c r="R934" s="2"/>
      <c r="S934" s="2"/>
      <c r="T934" s="4" t="n">
        <f aca="false">DATE(VALUE(MID(C934,7,4)),VALUE(MID(C934,4,2)),VALUE(MID(C934,1,2)))+TIME(VALUE(MID(C934,12,2)),VALUE(MID(C934,15,2)),0)</f>
        <v>35500.8069444444</v>
      </c>
      <c r="U934" s="2" t="str">
        <f aca="false">IF(AND(ISNUMBER(VALUE(MID(A934,7,1))),ISNUMBER(SEARCH("km",A934)),ISNUMBER(SEARCH("of",A934))),"Distance-location","Named-region")</f>
        <v>Named-region</v>
      </c>
      <c r="V934" s="2" t="str">
        <f aca="false">LOWER(M934)</f>
        <v>mwb</v>
      </c>
      <c r="W934" s="5" t="str">
        <f aca="false">IF(COUNTIFS($A$2:$A$1001,A934,$C$2:$C$1001,C934)&gt;1,"Duplicate","Unique")</f>
        <v>Unique</v>
      </c>
    </row>
    <row r="935" customFormat="false" ht="15" hidden="false" customHeight="false" outlineLevel="0" collapsed="false">
      <c r="A935" s="2" t="s">
        <v>2416</v>
      </c>
      <c r="B935" s="3" t="n">
        <v>7.1</v>
      </c>
      <c r="C935" s="2" t="s">
        <v>2417</v>
      </c>
      <c r="D935" s="2" t="n">
        <v>0</v>
      </c>
      <c r="E935" s="2" t="n">
        <v>6</v>
      </c>
      <c r="F935" s="2"/>
      <c r="G935" s="2" t="n">
        <v>0</v>
      </c>
      <c r="H935" s="2" t="n">
        <v>776</v>
      </c>
      <c r="I935" s="2" t="s">
        <v>26</v>
      </c>
      <c r="J935" s="2" t="n">
        <v>0</v>
      </c>
      <c r="K935" s="2" t="n">
        <v>0</v>
      </c>
      <c r="L935" s="2" t="n">
        <v>0</v>
      </c>
      <c r="M935" s="2" t="s">
        <v>131</v>
      </c>
      <c r="N935" s="3" t="n">
        <v>33</v>
      </c>
      <c r="O935" s="3" t="n">
        <v>29.976</v>
      </c>
      <c r="P935" s="3" t="n">
        <v>68.208</v>
      </c>
      <c r="Q935" s="3" t="s">
        <v>2418</v>
      </c>
      <c r="R935" s="2" t="s">
        <v>84</v>
      </c>
      <c r="S935" s="2" t="s">
        <v>1138</v>
      </c>
      <c r="T935" s="4" t="n">
        <f aca="false">DATE(VALUE(MID(C935,7,4)),VALUE(MID(C935,4,2)),VALUE(MID(C935,1,2)))+TIME(VALUE(MID(C935,12,2)),VALUE(MID(C935,15,2)),0)</f>
        <v>35488.8805555556</v>
      </c>
      <c r="U935" s="2" t="str">
        <f aca="false">IF(AND(ISNUMBER(VALUE(MID(A935,7,1))),ISNUMBER(SEARCH("km",A935)),ISNUMBER(SEARCH("of",A935))),"Distance-location","Named-region")</f>
        <v>Named-region</v>
      </c>
      <c r="V935" s="2" t="str">
        <f aca="false">LOWER(M935)</f>
        <v>mwc</v>
      </c>
      <c r="W935" s="5" t="str">
        <f aca="false">IF(COUNTIFS($A$2:$A$1001,A935,$C$2:$C$1001,C935)&gt;1,"Duplicate","Unique")</f>
        <v>Unique</v>
      </c>
    </row>
    <row r="936" customFormat="false" ht="15" hidden="false" customHeight="false" outlineLevel="0" collapsed="false">
      <c r="A936" s="2" t="s">
        <v>2419</v>
      </c>
      <c r="B936" s="3" t="n">
        <v>6.5</v>
      </c>
      <c r="C936" s="2" t="s">
        <v>2420</v>
      </c>
      <c r="D936" s="2" t="n">
        <v>0</v>
      </c>
      <c r="E936" s="2" t="n">
        <v>8</v>
      </c>
      <c r="F936" s="2"/>
      <c r="G936" s="2" t="n">
        <v>0</v>
      </c>
      <c r="H936" s="2" t="n">
        <v>650</v>
      </c>
      <c r="I936" s="2" t="s">
        <v>26</v>
      </c>
      <c r="J936" s="2" t="n">
        <v>0</v>
      </c>
      <c r="K936" s="2" t="n">
        <v>0</v>
      </c>
      <c r="L936" s="2" t="n">
        <v>0</v>
      </c>
      <c r="M936" s="2" t="s">
        <v>131</v>
      </c>
      <c r="N936" s="3" t="n">
        <v>10</v>
      </c>
      <c r="O936" s="3" t="n">
        <v>37.661</v>
      </c>
      <c r="P936" s="3" t="n">
        <v>57.291</v>
      </c>
      <c r="Q936" s="3" t="s">
        <v>2421</v>
      </c>
      <c r="R936" s="2" t="s">
        <v>84</v>
      </c>
      <c r="S936" s="2" t="s">
        <v>664</v>
      </c>
      <c r="T936" s="4" t="n">
        <f aca="false">DATE(VALUE(MID(C936,7,4)),VALUE(MID(C936,4,2)),VALUE(MID(C936,1,2)))+TIME(VALUE(MID(C936,12,2)),VALUE(MID(C936,15,2)),0)</f>
        <v>35465.4423611111</v>
      </c>
      <c r="U936" s="2" t="str">
        <f aca="false">IF(AND(ISNUMBER(VALUE(MID(A936,7,1))),ISNUMBER(SEARCH("km",A936)),ISNUMBER(SEARCH("of",A936))),"Distance-location","Named-region")</f>
        <v>Named-region</v>
      </c>
      <c r="V936" s="2" t="str">
        <f aca="false">LOWER(M936)</f>
        <v>mwc</v>
      </c>
      <c r="W936" s="5" t="str">
        <f aca="false">IF(COUNTIFS($A$2:$A$1001,A936,$C$2:$C$1001,C936)&gt;1,"Duplicate","Unique")</f>
        <v>Unique</v>
      </c>
    </row>
    <row r="937" customFormat="false" ht="15" hidden="false" customHeight="false" outlineLevel="0" collapsed="false">
      <c r="A937" s="2" t="s">
        <v>2422</v>
      </c>
      <c r="B937" s="3" t="n">
        <v>7.2</v>
      </c>
      <c r="C937" s="2" t="s">
        <v>2423</v>
      </c>
      <c r="D937" s="2" t="n">
        <v>0</v>
      </c>
      <c r="E937" s="2" t="n">
        <v>7</v>
      </c>
      <c r="F937" s="2"/>
      <c r="G937" s="2" t="n">
        <v>0</v>
      </c>
      <c r="H937" s="2" t="n">
        <v>798</v>
      </c>
      <c r="I937" s="2" t="s">
        <v>26</v>
      </c>
      <c r="J937" s="2" t="n">
        <v>0</v>
      </c>
      <c r="K937" s="2" t="n">
        <v>0</v>
      </c>
      <c r="L937" s="2" t="n">
        <v>0</v>
      </c>
      <c r="M937" s="2" t="s">
        <v>158</v>
      </c>
      <c r="N937" s="3" t="n">
        <v>33</v>
      </c>
      <c r="O937" s="3" t="n">
        <v>18.219</v>
      </c>
      <c r="P937" s="3" t="n">
        <v>-102.756</v>
      </c>
      <c r="Q937" s="3" t="s">
        <v>1291</v>
      </c>
      <c r="R937" s="2" t="s">
        <v>168</v>
      </c>
      <c r="S937" s="2" t="s">
        <v>169</v>
      </c>
      <c r="T937" s="4" t="n">
        <f aca="false">DATE(VALUE(MID(C937,7,4)),VALUE(MID(C937,4,2)),VALUE(MID(C937,1,2)))+TIME(VALUE(MID(C937,12,2)),VALUE(MID(C937,15,2)),0)</f>
        <v>35441.8527777778</v>
      </c>
      <c r="U937" s="2" t="str">
        <f aca="false">IF(AND(ISNUMBER(VALUE(MID(A937,7,1))),ISNUMBER(SEARCH("km",A937)),ISNUMBER(SEARCH("of",A937))),"Distance-location","Named-region")</f>
        <v>Named-region</v>
      </c>
      <c r="V937" s="2" t="str">
        <f aca="false">LOWER(M937)</f>
        <v>mwb</v>
      </c>
      <c r="W937" s="5" t="str">
        <f aca="false">IF(COUNTIFS($A$2:$A$1001,A937,$C$2:$C$1001,C937)&gt;1,"Duplicate","Unique")</f>
        <v>Unique</v>
      </c>
    </row>
    <row r="938" customFormat="false" ht="15" hidden="false" customHeight="false" outlineLevel="0" collapsed="false">
      <c r="A938" s="2" t="s">
        <v>2424</v>
      </c>
      <c r="B938" s="3" t="n">
        <v>6.5</v>
      </c>
      <c r="C938" s="2" t="s">
        <v>2425</v>
      </c>
      <c r="D938" s="2" t="n">
        <v>0</v>
      </c>
      <c r="E938" s="2" t="n">
        <v>4</v>
      </c>
      <c r="F938" s="2"/>
      <c r="G938" s="2" t="n">
        <v>0</v>
      </c>
      <c r="H938" s="2" t="n">
        <v>650</v>
      </c>
      <c r="I938" s="2" t="s">
        <v>26</v>
      </c>
      <c r="J938" s="2" t="n">
        <v>0</v>
      </c>
      <c r="K938" s="2" t="n">
        <v>0</v>
      </c>
      <c r="L938" s="2" t="n">
        <v>0</v>
      </c>
      <c r="M938" s="2" t="s">
        <v>131</v>
      </c>
      <c r="N938" s="3" t="n">
        <v>226.5</v>
      </c>
      <c r="O938" s="3" t="n">
        <v>43.207</v>
      </c>
      <c r="P938" s="3" t="n">
        <v>138.92</v>
      </c>
      <c r="Q938" s="3" t="s">
        <v>2426</v>
      </c>
      <c r="R938" s="2"/>
      <c r="S938" s="2"/>
      <c r="T938" s="4" t="n">
        <f aca="false">DATE(VALUE(MID(C938,7,4)),VALUE(MID(C938,4,2)),VALUE(MID(C938,1,2)))+TIME(VALUE(MID(C938,12,2)),VALUE(MID(C938,15,2)),0)</f>
        <v>35421.6201388889</v>
      </c>
      <c r="U938" s="2" t="str">
        <f aca="false">IF(AND(ISNUMBER(VALUE(MID(A938,7,1))),ISNUMBER(SEARCH("km",A938)),ISNUMBER(SEARCH("of",A938))),"Distance-location","Named-region")</f>
        <v>Named-region</v>
      </c>
      <c r="V938" s="2" t="str">
        <f aca="false">LOWER(M938)</f>
        <v>mwc</v>
      </c>
      <c r="W938" s="5" t="str">
        <f aca="false">IF(COUNTIFS($A$2:$A$1001,A938,$C$2:$C$1001,C938)&gt;1,"Duplicate","Unique")</f>
        <v>Unique</v>
      </c>
    </row>
    <row r="939" customFormat="false" ht="15" hidden="false" customHeight="false" outlineLevel="0" collapsed="false">
      <c r="A939" s="2" t="s">
        <v>2427</v>
      </c>
      <c r="B939" s="3" t="n">
        <v>6.7</v>
      </c>
      <c r="C939" s="2" t="s">
        <v>2428</v>
      </c>
      <c r="D939" s="2" t="n">
        <v>0</v>
      </c>
      <c r="E939" s="2" t="n">
        <v>6</v>
      </c>
      <c r="F939" s="2"/>
      <c r="G939" s="2" t="n">
        <v>0</v>
      </c>
      <c r="H939" s="2" t="n">
        <v>691</v>
      </c>
      <c r="I939" s="2" t="s">
        <v>26</v>
      </c>
      <c r="J939" s="2" t="n">
        <v>0</v>
      </c>
      <c r="K939" s="2" t="n">
        <v>0</v>
      </c>
      <c r="L939" s="2" t="n">
        <v>0</v>
      </c>
      <c r="M939" s="2" t="s">
        <v>131</v>
      </c>
      <c r="N939" s="3" t="n">
        <v>49.2</v>
      </c>
      <c r="O939" s="3" t="n">
        <v>31.789</v>
      </c>
      <c r="P939" s="3" t="n">
        <v>131.314</v>
      </c>
      <c r="Q939" s="3" t="s">
        <v>2429</v>
      </c>
      <c r="R939" s="2" t="s">
        <v>84</v>
      </c>
      <c r="S939" s="2" t="s">
        <v>326</v>
      </c>
      <c r="T939" s="4" t="n">
        <f aca="false">DATE(VALUE(MID(C939,7,4)),VALUE(MID(C939,4,2)),VALUE(MID(C939,1,2)))+TIME(VALUE(MID(C939,12,2)),VALUE(MID(C939,15,2)),0)</f>
        <v>35401.9284722222</v>
      </c>
      <c r="U939" s="2" t="str">
        <f aca="false">IF(AND(ISNUMBER(VALUE(MID(A939,7,1))),ISNUMBER(SEARCH("km",A939)),ISNUMBER(SEARCH("of",A939))),"Distance-location","Named-region")</f>
        <v>Named-region</v>
      </c>
      <c r="V939" s="2" t="str">
        <f aca="false">LOWER(M939)</f>
        <v>mwc</v>
      </c>
      <c r="W939" s="5" t="str">
        <f aca="false">IF(COUNTIFS($A$2:$A$1001,A939,$C$2:$C$1001,C939)&gt;1,"Duplicate","Unique")</f>
        <v>Unique</v>
      </c>
    </row>
    <row r="940" customFormat="false" ht="15" hidden="false" customHeight="false" outlineLevel="0" collapsed="false">
      <c r="A940" s="2" t="s">
        <v>2430</v>
      </c>
      <c r="B940" s="3" t="n">
        <v>6.9</v>
      </c>
      <c r="C940" s="2" t="s">
        <v>2431</v>
      </c>
      <c r="D940" s="2" t="n">
        <v>0</v>
      </c>
      <c r="E940" s="2" t="n">
        <v>7</v>
      </c>
      <c r="F940" s="2"/>
      <c r="G940" s="2" t="n">
        <v>0</v>
      </c>
      <c r="H940" s="2" t="n">
        <v>732</v>
      </c>
      <c r="I940" s="2" t="s">
        <v>26</v>
      </c>
      <c r="J940" s="2" t="n">
        <v>0</v>
      </c>
      <c r="K940" s="2" t="n">
        <v>0</v>
      </c>
      <c r="L940" s="2" t="n">
        <v>0</v>
      </c>
      <c r="M940" s="2" t="s">
        <v>131</v>
      </c>
      <c r="N940" s="3" t="n">
        <v>33</v>
      </c>
      <c r="O940" s="3" t="n">
        <v>35.345</v>
      </c>
      <c r="P940" s="3" t="n">
        <v>78.133</v>
      </c>
      <c r="Q940" s="3" t="s">
        <v>2432</v>
      </c>
      <c r="R940" s="2" t="s">
        <v>84</v>
      </c>
      <c r="S940" s="2" t="s">
        <v>188</v>
      </c>
      <c r="T940" s="4" t="n">
        <f aca="false">DATE(VALUE(MID(C940,7,4)),VALUE(MID(C940,4,2)),VALUE(MID(C940,1,2)))+TIME(VALUE(MID(C940,12,2)),VALUE(MID(C940,15,2)),0)</f>
        <v>35388.4472222222</v>
      </c>
      <c r="U940" s="2" t="str">
        <f aca="false">IF(AND(ISNUMBER(VALUE(MID(A940,7,1))),ISNUMBER(SEARCH("km",A940)),ISNUMBER(SEARCH("of",A940))),"Distance-location","Named-region")</f>
        <v>Named-region</v>
      </c>
      <c r="V940" s="2" t="str">
        <f aca="false">LOWER(M940)</f>
        <v>mwc</v>
      </c>
      <c r="W940" s="5" t="str">
        <f aca="false">IF(COUNTIFS($A$2:$A$1001,A940,$C$2:$C$1001,C940)&gt;1,"Duplicate","Unique")</f>
        <v>Unique</v>
      </c>
    </row>
    <row r="941" customFormat="false" ht="15" hidden="false" customHeight="false" outlineLevel="0" collapsed="false">
      <c r="A941" s="2" t="s">
        <v>2433</v>
      </c>
      <c r="B941" s="3" t="n">
        <v>7.7</v>
      </c>
      <c r="C941" s="2" t="s">
        <v>2434</v>
      </c>
      <c r="D941" s="2" t="n">
        <v>0</v>
      </c>
      <c r="E941" s="2" t="n">
        <v>7</v>
      </c>
      <c r="F941" s="2"/>
      <c r="G941" s="2" t="n">
        <v>0</v>
      </c>
      <c r="H941" s="2" t="n">
        <v>912</v>
      </c>
      <c r="I941" s="2" t="s">
        <v>26</v>
      </c>
      <c r="J941" s="2" t="n">
        <v>0</v>
      </c>
      <c r="K941" s="2" t="n">
        <v>0</v>
      </c>
      <c r="L941" s="2" t="n">
        <v>0</v>
      </c>
      <c r="M941" s="2" t="s">
        <v>131</v>
      </c>
      <c r="N941" s="3" t="n">
        <v>33</v>
      </c>
      <c r="O941" s="3" t="n">
        <v>-14.993</v>
      </c>
      <c r="P941" s="3" t="n">
        <v>-75.675</v>
      </c>
      <c r="Q941" s="3" t="s">
        <v>2435</v>
      </c>
      <c r="R941" s="2"/>
      <c r="S941" s="2" t="s">
        <v>203</v>
      </c>
      <c r="T941" s="4" t="n">
        <f aca="false">DATE(VALUE(MID(C941,7,4)),VALUE(MID(C941,4,2)),VALUE(MID(C941,1,2)))+TIME(VALUE(MID(C941,12,2)),VALUE(MID(C941,15,2)),0)</f>
        <v>35381.7076388889</v>
      </c>
      <c r="U941" s="2" t="str">
        <f aca="false">IF(AND(ISNUMBER(VALUE(MID(A941,7,1))),ISNUMBER(SEARCH("km",A941)),ISNUMBER(SEARCH("of",A941))),"Distance-location","Named-region")</f>
        <v>Named-region</v>
      </c>
      <c r="V941" s="2" t="str">
        <f aca="false">LOWER(M941)</f>
        <v>mwc</v>
      </c>
      <c r="W941" s="5" t="str">
        <f aca="false">IF(COUNTIFS($A$2:$A$1001,A941,$C$2:$C$1001,C941)&gt;1,"Duplicate","Unique")</f>
        <v>Unique</v>
      </c>
    </row>
    <row r="942" customFormat="false" ht="15" hidden="false" customHeight="false" outlineLevel="0" collapsed="false">
      <c r="A942" s="2" t="s">
        <v>2436</v>
      </c>
      <c r="B942" s="3" t="n">
        <v>6.7</v>
      </c>
      <c r="C942" s="2" t="s">
        <v>2437</v>
      </c>
      <c r="D942" s="2" t="n">
        <v>0</v>
      </c>
      <c r="E942" s="2" t="n">
        <v>7</v>
      </c>
      <c r="F942" s="2"/>
      <c r="G942" s="2" t="n">
        <v>0</v>
      </c>
      <c r="H942" s="2" t="n">
        <v>691</v>
      </c>
      <c r="I942" s="2" t="s">
        <v>26</v>
      </c>
      <c r="J942" s="2" t="n">
        <v>0</v>
      </c>
      <c r="K942" s="2" t="n">
        <v>0</v>
      </c>
      <c r="L942" s="2" t="n">
        <v>0</v>
      </c>
      <c r="M942" s="2" t="s">
        <v>131</v>
      </c>
      <c r="N942" s="3" t="n">
        <v>22</v>
      </c>
      <c r="O942" s="3" t="n">
        <v>31.885</v>
      </c>
      <c r="P942" s="3" t="n">
        <v>131.468</v>
      </c>
      <c r="Q942" s="3" t="s">
        <v>2429</v>
      </c>
      <c r="R942" s="2" t="s">
        <v>84</v>
      </c>
      <c r="S942" s="2" t="s">
        <v>326</v>
      </c>
      <c r="T942" s="4" t="n">
        <f aca="false">DATE(VALUE(MID(C942,7,4)),VALUE(MID(C942,4,2)),VALUE(MID(C942,1,2)))+TIME(VALUE(MID(C942,12,2)),VALUE(MID(C942,15,2)),0)</f>
        <v>35357.6138888889</v>
      </c>
      <c r="U942" s="2" t="str">
        <f aca="false">IF(AND(ISNUMBER(VALUE(MID(A942,7,1))),ISNUMBER(SEARCH("km",A942)),ISNUMBER(SEARCH("of",A942))),"Distance-location","Named-region")</f>
        <v>Named-region</v>
      </c>
      <c r="V942" s="2" t="str">
        <f aca="false">LOWER(M942)</f>
        <v>mwc</v>
      </c>
      <c r="W942" s="5" t="str">
        <f aca="false">IF(COUNTIFS($A$2:$A$1001,A942,$C$2:$C$1001,C942)&gt;1,"Duplicate","Unique")</f>
        <v>Unique</v>
      </c>
    </row>
    <row r="943" customFormat="false" ht="15" hidden="false" customHeight="false" outlineLevel="0" collapsed="false">
      <c r="A943" s="2" t="s">
        <v>2438</v>
      </c>
      <c r="B943" s="3" t="n">
        <v>6.6</v>
      </c>
      <c r="C943" s="2" t="s">
        <v>2439</v>
      </c>
      <c r="D943" s="2" t="n">
        <v>0</v>
      </c>
      <c r="E943" s="2" t="n">
        <v>7</v>
      </c>
      <c r="F943" s="2"/>
      <c r="G943" s="2" t="n">
        <v>0</v>
      </c>
      <c r="H943" s="2" t="n">
        <v>670</v>
      </c>
      <c r="I943" s="2" t="s">
        <v>26</v>
      </c>
      <c r="J943" s="2" t="n">
        <v>0</v>
      </c>
      <c r="K943" s="2" t="n">
        <v>0</v>
      </c>
      <c r="L943" s="2" t="n">
        <v>0</v>
      </c>
      <c r="M943" s="2" t="s">
        <v>131</v>
      </c>
      <c r="N943" s="3" t="n">
        <v>10</v>
      </c>
      <c r="O943" s="3" t="n">
        <v>30.568</v>
      </c>
      <c r="P943" s="3" t="n">
        <v>131.093</v>
      </c>
      <c r="Q943" s="3" t="s">
        <v>2440</v>
      </c>
      <c r="R943" s="2" t="s">
        <v>84</v>
      </c>
      <c r="S943" s="2" t="s">
        <v>326</v>
      </c>
      <c r="T943" s="4" t="n">
        <f aca="false">DATE(VALUE(MID(C943,7,4)),VALUE(MID(C943,4,2)),VALUE(MID(C943,1,2)))+TIME(VALUE(MID(C943,12,2)),VALUE(MID(C943,15,2)),0)</f>
        <v>35356.4513888889</v>
      </c>
      <c r="U943" s="2" t="str">
        <f aca="false">IF(AND(ISNUMBER(VALUE(MID(A943,7,1))),ISNUMBER(SEARCH("km",A943)),ISNUMBER(SEARCH("of",A943))),"Distance-location","Named-region")</f>
        <v>Named-region</v>
      </c>
      <c r="V943" s="2" t="str">
        <f aca="false">LOWER(M943)</f>
        <v>mwc</v>
      </c>
      <c r="W943" s="5" t="str">
        <f aca="false">IF(COUNTIFS($A$2:$A$1001,A943,$C$2:$C$1001,C943)&gt;1,"Duplicate","Unique")</f>
        <v>Unique</v>
      </c>
    </row>
    <row r="944" customFormat="false" ht="15" hidden="false" customHeight="false" outlineLevel="0" collapsed="false">
      <c r="A944" s="2" t="s">
        <v>2441</v>
      </c>
      <c r="B944" s="3" t="n">
        <v>6.8</v>
      </c>
      <c r="C944" s="2" t="s">
        <v>2442</v>
      </c>
      <c r="D944" s="2" t="n">
        <v>0</v>
      </c>
      <c r="E944" s="2" t="n">
        <v>6</v>
      </c>
      <c r="F944" s="2"/>
      <c r="G944" s="2" t="n">
        <v>0</v>
      </c>
      <c r="H944" s="2" t="n">
        <v>711</v>
      </c>
      <c r="I944" s="2" t="s">
        <v>26</v>
      </c>
      <c r="J944" s="2" t="n">
        <v>0</v>
      </c>
      <c r="K944" s="2" t="n">
        <v>0</v>
      </c>
      <c r="L944" s="2" t="n">
        <v>0</v>
      </c>
      <c r="M944" s="2" t="s">
        <v>131</v>
      </c>
      <c r="N944" s="3" t="n">
        <v>24</v>
      </c>
      <c r="O944" s="3" t="n">
        <v>-7.133</v>
      </c>
      <c r="P944" s="3" t="n">
        <v>155.568</v>
      </c>
      <c r="Q944" s="3" t="s">
        <v>740</v>
      </c>
      <c r="R944" s="2"/>
      <c r="S944" s="2" t="s">
        <v>144</v>
      </c>
      <c r="T944" s="4" t="n">
        <f aca="false">DATE(VALUE(MID(C944,7,4)),VALUE(MID(C944,4,2)),VALUE(MID(C944,1,2)))+TIME(VALUE(MID(C944,12,2)),VALUE(MID(C944,15,2)),0)</f>
        <v>35352.9763888889</v>
      </c>
      <c r="U944" s="2" t="str">
        <f aca="false">IF(AND(ISNUMBER(VALUE(MID(A944,7,1))),ISNUMBER(SEARCH("km",A944)),ISNUMBER(SEARCH("of",A944))),"Distance-location","Named-region")</f>
        <v>Named-region</v>
      </c>
      <c r="V944" s="2" t="str">
        <f aca="false">LOWER(M944)</f>
        <v>mwc</v>
      </c>
      <c r="W944" s="5" t="str">
        <f aca="false">IF(COUNTIFS($A$2:$A$1001,A944,$C$2:$C$1001,C944)&gt;1,"Duplicate","Unique")</f>
        <v>Unique</v>
      </c>
    </row>
    <row r="945" customFormat="false" ht="15" hidden="false" customHeight="false" outlineLevel="0" collapsed="false">
      <c r="A945" s="2" t="s">
        <v>2443</v>
      </c>
      <c r="B945" s="3" t="n">
        <v>6.8</v>
      </c>
      <c r="C945" s="2" t="s">
        <v>2444</v>
      </c>
      <c r="D945" s="2" t="n">
        <v>0</v>
      </c>
      <c r="E945" s="2" t="n">
        <v>6</v>
      </c>
      <c r="F945" s="2"/>
      <c r="G945" s="2" t="n">
        <v>0</v>
      </c>
      <c r="H945" s="2" t="n">
        <v>711</v>
      </c>
      <c r="I945" s="2" t="s">
        <v>26</v>
      </c>
      <c r="J945" s="2" t="n">
        <v>0</v>
      </c>
      <c r="K945" s="2" t="n">
        <v>0</v>
      </c>
      <c r="L945" s="2" t="n">
        <v>0</v>
      </c>
      <c r="M945" s="2" t="s">
        <v>131</v>
      </c>
      <c r="N945" s="3" t="n">
        <v>33</v>
      </c>
      <c r="O945" s="3" t="n">
        <v>34.556</v>
      </c>
      <c r="P945" s="3" t="n">
        <v>32.126</v>
      </c>
      <c r="Q945" s="3" t="s">
        <v>2445</v>
      </c>
      <c r="R945" s="2" t="s">
        <v>84</v>
      </c>
      <c r="S945" s="2"/>
      <c r="T945" s="4" t="n">
        <f aca="false">DATE(VALUE(MID(C945,7,4)),VALUE(MID(C945,4,2)),VALUE(MID(C945,1,2)))+TIME(VALUE(MID(C945,12,2)),VALUE(MID(C945,15,2)),0)</f>
        <v>35347.5486111111</v>
      </c>
      <c r="U945" s="2" t="str">
        <f aca="false">IF(AND(ISNUMBER(VALUE(MID(A945,7,1))),ISNUMBER(SEARCH("km",A945)),ISNUMBER(SEARCH("of",A945))),"Distance-location","Named-region")</f>
        <v>Named-region</v>
      </c>
      <c r="V945" s="2" t="str">
        <f aca="false">LOWER(M945)</f>
        <v>mwc</v>
      </c>
      <c r="W945" s="5" t="str">
        <f aca="false">IF(COUNTIFS($A$2:$A$1001,A945,$C$2:$C$1001,C945)&gt;1,"Duplicate","Unique")</f>
        <v>Unique</v>
      </c>
    </row>
    <row r="946" customFormat="false" ht="15" hidden="false" customHeight="false" outlineLevel="0" collapsed="false">
      <c r="A946" s="2" t="s">
        <v>2446</v>
      </c>
      <c r="B946" s="3" t="n">
        <v>6.6</v>
      </c>
      <c r="C946" s="2" t="s">
        <v>2447</v>
      </c>
      <c r="D946" s="2" t="n">
        <v>0</v>
      </c>
      <c r="E946" s="2" t="n">
        <v>6</v>
      </c>
      <c r="F946" s="2"/>
      <c r="G946" s="2" t="n">
        <v>0</v>
      </c>
      <c r="H946" s="2" t="n">
        <v>670</v>
      </c>
      <c r="I946" s="2" t="s">
        <v>26</v>
      </c>
      <c r="J946" s="2" t="n">
        <v>0</v>
      </c>
      <c r="K946" s="2" t="n">
        <v>0</v>
      </c>
      <c r="L946" s="2" t="n">
        <v>0</v>
      </c>
      <c r="M946" s="2" t="s">
        <v>131</v>
      </c>
      <c r="N946" s="3" t="n">
        <v>33</v>
      </c>
      <c r="O946" s="3" t="n">
        <v>9.454</v>
      </c>
      <c r="P946" s="3" t="n">
        <v>126.334</v>
      </c>
      <c r="Q946" s="3" t="s">
        <v>2448</v>
      </c>
      <c r="R946" s="2"/>
      <c r="S946" s="2" t="s">
        <v>195</v>
      </c>
      <c r="T946" s="4" t="n">
        <f aca="false">DATE(VALUE(MID(C946,7,4)),VALUE(MID(C946,4,2)),VALUE(MID(C946,1,2)))+TIME(VALUE(MID(C946,12,2)),VALUE(MID(C946,15,2)),0)</f>
        <v>35328.1743055556</v>
      </c>
      <c r="U946" s="2" t="str">
        <f aca="false">IF(AND(ISNUMBER(VALUE(MID(A946,7,1))),ISNUMBER(SEARCH("km",A946)),ISNUMBER(SEARCH("of",A946))),"Distance-location","Named-region")</f>
        <v>Named-region</v>
      </c>
      <c r="V946" s="2" t="str">
        <f aca="false">LOWER(M946)</f>
        <v>mwc</v>
      </c>
      <c r="W946" s="5" t="str">
        <f aca="false">IF(COUNTIFS($A$2:$A$1001,A946,$C$2:$C$1001,C946)&gt;1,"Duplicate","Unique")</f>
        <v>Unique</v>
      </c>
    </row>
    <row r="947" customFormat="false" ht="15" hidden="false" customHeight="false" outlineLevel="0" collapsed="false">
      <c r="A947" s="2" t="s">
        <v>2449</v>
      </c>
      <c r="B947" s="3" t="n">
        <v>6.6</v>
      </c>
      <c r="C947" s="2" t="s">
        <v>2450</v>
      </c>
      <c r="D947" s="2" t="n">
        <v>0</v>
      </c>
      <c r="E947" s="2" t="n">
        <v>6</v>
      </c>
      <c r="F947" s="2"/>
      <c r="G947" s="2" t="n">
        <v>0</v>
      </c>
      <c r="H947" s="2" t="n">
        <v>670</v>
      </c>
      <c r="I947" s="2" t="s">
        <v>26</v>
      </c>
      <c r="J947" s="2" t="n">
        <v>0</v>
      </c>
      <c r="K947" s="2" t="n">
        <v>0</v>
      </c>
      <c r="L947" s="2" t="n">
        <v>0</v>
      </c>
      <c r="M947" s="2" t="s">
        <v>131</v>
      </c>
      <c r="N947" s="3" t="n">
        <v>33</v>
      </c>
      <c r="O947" s="3" t="n">
        <v>9.463</v>
      </c>
      <c r="P947" s="3" t="n">
        <v>126.284</v>
      </c>
      <c r="Q947" s="3" t="s">
        <v>2448</v>
      </c>
      <c r="R947" s="2"/>
      <c r="S947" s="2" t="s">
        <v>195</v>
      </c>
      <c r="T947" s="4" t="n">
        <f aca="false">DATE(VALUE(MID(C947,7,4)),VALUE(MID(C947,4,2)),VALUE(MID(C947,1,2)))+TIME(VALUE(MID(C947,12,2)),VALUE(MID(C947,15,2)),0)</f>
        <v>35328.1736111111</v>
      </c>
      <c r="U947" s="2" t="str">
        <f aca="false">IF(AND(ISNUMBER(VALUE(MID(A947,7,1))),ISNUMBER(SEARCH("km",A947)),ISNUMBER(SEARCH("of",A947))),"Distance-location","Named-region")</f>
        <v>Named-region</v>
      </c>
      <c r="V947" s="2" t="str">
        <f aca="false">LOWER(M947)</f>
        <v>mwc</v>
      </c>
      <c r="W947" s="5" t="str">
        <f aca="false">IF(COUNTIFS($A$2:$A$1001,A947,$C$2:$C$1001,C947)&gt;1,"Duplicate","Unique")</f>
        <v>Unique</v>
      </c>
    </row>
    <row r="948" customFormat="false" ht="15" hidden="false" customHeight="false" outlineLevel="0" collapsed="false">
      <c r="A948" s="2" t="s">
        <v>2451</v>
      </c>
      <c r="B948" s="3" t="n">
        <v>6.8</v>
      </c>
      <c r="C948" s="2" t="s">
        <v>2452</v>
      </c>
      <c r="D948" s="2" t="n">
        <v>0</v>
      </c>
      <c r="E948" s="2" t="n">
        <v>6</v>
      </c>
      <c r="F948" s="2"/>
      <c r="G948" s="2" t="n">
        <v>0</v>
      </c>
      <c r="H948" s="2" t="n">
        <v>711</v>
      </c>
      <c r="I948" s="2" t="s">
        <v>26</v>
      </c>
      <c r="J948" s="2" t="n">
        <v>0</v>
      </c>
      <c r="K948" s="2" t="n">
        <v>0</v>
      </c>
      <c r="L948" s="2" t="n">
        <v>0</v>
      </c>
      <c r="M948" s="2" t="s">
        <v>131</v>
      </c>
      <c r="N948" s="3" t="n">
        <v>20</v>
      </c>
      <c r="O948" s="3" t="n">
        <v>21.898</v>
      </c>
      <c r="P948" s="3" t="n">
        <v>121.498</v>
      </c>
      <c r="Q948" s="3" t="s">
        <v>1722</v>
      </c>
      <c r="R948" s="2"/>
      <c r="S948" s="2" t="s">
        <v>175</v>
      </c>
      <c r="T948" s="4" t="n">
        <f aca="false">DATE(VALUE(MID(C948,7,4)),VALUE(MID(C948,4,2)),VALUE(MID(C948,1,2)))+TIME(VALUE(MID(C948,12,2)),VALUE(MID(C948,15,2)),0)</f>
        <v>35313.9875</v>
      </c>
      <c r="U948" s="2" t="str">
        <f aca="false">IF(AND(ISNUMBER(VALUE(MID(A948,7,1))),ISNUMBER(SEARCH("km",A948)),ISNUMBER(SEARCH("of",A948))),"Distance-location","Named-region")</f>
        <v>Named-region</v>
      </c>
      <c r="V948" s="2" t="str">
        <f aca="false">LOWER(M948)</f>
        <v>mwc</v>
      </c>
      <c r="W948" s="5" t="str">
        <f aca="false">IF(COUNTIFS($A$2:$A$1001,A948,$C$2:$C$1001,C948)&gt;1,"Duplicate","Unique")</f>
        <v>Unique</v>
      </c>
    </row>
    <row r="949" customFormat="false" ht="15" hidden="false" customHeight="false" outlineLevel="0" collapsed="false">
      <c r="A949" s="2" t="s">
        <v>2453</v>
      </c>
      <c r="B949" s="3" t="n">
        <v>6.9</v>
      </c>
      <c r="C949" s="2" t="s">
        <v>2454</v>
      </c>
      <c r="D949" s="2" t="n">
        <v>0</v>
      </c>
      <c r="E949" s="2" t="n">
        <v>6</v>
      </c>
      <c r="F949" s="2"/>
      <c r="G949" s="2" t="n">
        <v>0</v>
      </c>
      <c r="H949" s="2" t="n">
        <v>732</v>
      </c>
      <c r="I949" s="2" t="s">
        <v>26</v>
      </c>
      <c r="J949" s="2" t="n">
        <v>0</v>
      </c>
      <c r="K949" s="2" t="n">
        <v>0</v>
      </c>
      <c r="L949" s="2" t="n">
        <v>0</v>
      </c>
      <c r="M949" s="2" t="s">
        <v>131</v>
      </c>
      <c r="N949" s="3" t="n">
        <v>33</v>
      </c>
      <c r="O949" s="3" t="n">
        <v>-10.769</v>
      </c>
      <c r="P949" s="3" t="n">
        <v>161.445</v>
      </c>
      <c r="Q949" s="3" t="s">
        <v>585</v>
      </c>
      <c r="R949" s="2"/>
      <c r="S949" s="2" t="s">
        <v>144</v>
      </c>
      <c r="T949" s="4" t="n">
        <f aca="false">DATE(VALUE(MID(C949,7,4)),VALUE(MID(C949,4,2)),VALUE(MID(C949,1,2)))+TIME(VALUE(MID(C949,12,2)),VALUE(MID(C949,15,2)),0)</f>
        <v>35279.5381944444</v>
      </c>
      <c r="U949" s="2" t="str">
        <f aca="false">IF(AND(ISNUMBER(VALUE(MID(A949,7,1))),ISNUMBER(SEARCH("km",A949)),ISNUMBER(SEARCH("of",A949))),"Distance-location","Named-region")</f>
        <v>Named-region</v>
      </c>
      <c r="V949" s="2" t="str">
        <f aca="false">LOWER(M949)</f>
        <v>mwc</v>
      </c>
      <c r="W949" s="5" t="str">
        <f aca="false">IF(COUNTIFS($A$2:$A$1001,A949,$C$2:$C$1001,C949)&gt;1,"Duplicate","Unique")</f>
        <v>Unique</v>
      </c>
    </row>
    <row r="950" customFormat="false" ht="15" hidden="false" customHeight="false" outlineLevel="0" collapsed="false">
      <c r="A950" s="2" t="s">
        <v>2455</v>
      </c>
      <c r="B950" s="3" t="n">
        <v>7</v>
      </c>
      <c r="C950" s="2" t="s">
        <v>2456</v>
      </c>
      <c r="D950" s="2" t="n">
        <v>0</v>
      </c>
      <c r="E950" s="2" t="n">
        <v>6</v>
      </c>
      <c r="F950" s="2"/>
      <c r="G950" s="2" t="n">
        <v>0</v>
      </c>
      <c r="H950" s="2" t="n">
        <v>754</v>
      </c>
      <c r="I950" s="2" t="s">
        <v>26</v>
      </c>
      <c r="J950" s="2" t="n">
        <v>0</v>
      </c>
      <c r="K950" s="2" t="n">
        <v>0</v>
      </c>
      <c r="L950" s="2" t="n">
        <v>0</v>
      </c>
      <c r="M950" s="2" t="s">
        <v>131</v>
      </c>
      <c r="N950" s="3" t="n">
        <v>33</v>
      </c>
      <c r="O950" s="3" t="n">
        <v>1</v>
      </c>
      <c r="P950" s="3" t="n">
        <v>120.45</v>
      </c>
      <c r="Q950" s="3" t="s">
        <v>578</v>
      </c>
      <c r="R950" s="2"/>
      <c r="S950" s="2" t="s">
        <v>72</v>
      </c>
      <c r="T950" s="4" t="n">
        <f aca="false">DATE(VALUE(MID(C950,7,4)),VALUE(MID(C950,4,2)),VALUE(MID(C950,1,2)))+TIME(VALUE(MID(C950,12,2)),VALUE(MID(C950,15,2)),0)</f>
        <v>35268.5965277778</v>
      </c>
      <c r="U950" s="2" t="str">
        <f aca="false">IF(AND(ISNUMBER(VALUE(MID(A950,7,1))),ISNUMBER(SEARCH("km",A950)),ISNUMBER(SEARCH("of",A950))),"Distance-location","Named-region")</f>
        <v>Named-region</v>
      </c>
      <c r="V950" s="2" t="str">
        <f aca="false">LOWER(M950)</f>
        <v>mwc</v>
      </c>
      <c r="W950" s="5" t="str">
        <f aca="false">IF(COUNTIFS($A$2:$A$1001,A950,$C$2:$C$1001,C950)&gt;1,"Duplicate","Unique")</f>
        <v>Unique</v>
      </c>
    </row>
    <row r="951" customFormat="false" ht="15" hidden="false" customHeight="false" outlineLevel="0" collapsed="false">
      <c r="A951" s="2" t="s">
        <v>2457</v>
      </c>
      <c r="B951" s="3" t="n">
        <v>6.6</v>
      </c>
      <c r="C951" s="2" t="s">
        <v>2458</v>
      </c>
      <c r="D951" s="2" t="n">
        <v>0</v>
      </c>
      <c r="E951" s="2" t="n">
        <v>6</v>
      </c>
      <c r="F951" s="2"/>
      <c r="G951" s="2" t="n">
        <v>0</v>
      </c>
      <c r="H951" s="2" t="n">
        <v>670</v>
      </c>
      <c r="I951" s="2" t="s">
        <v>26</v>
      </c>
      <c r="J951" s="2" t="n">
        <v>0</v>
      </c>
      <c r="K951" s="2" t="n">
        <v>0</v>
      </c>
      <c r="L951" s="2" t="n">
        <v>0</v>
      </c>
      <c r="M951" s="2" t="s">
        <v>158</v>
      </c>
      <c r="N951" s="3" t="n">
        <v>33</v>
      </c>
      <c r="O951" s="3" t="n">
        <v>1.016</v>
      </c>
      <c r="P951" s="3" t="n">
        <v>120.254</v>
      </c>
      <c r="Q951" s="3" t="s">
        <v>578</v>
      </c>
      <c r="R951" s="2"/>
      <c r="S951" s="2" t="s">
        <v>72</v>
      </c>
      <c r="T951" s="4" t="n">
        <f aca="false">DATE(VALUE(MID(C951,7,4)),VALUE(MID(C951,4,2)),VALUE(MID(C951,1,2)))+TIME(VALUE(MID(C951,12,2)),VALUE(MID(C951,15,2)),0)</f>
        <v>35262.4215277778</v>
      </c>
      <c r="U951" s="2" t="str">
        <f aca="false">IF(AND(ISNUMBER(VALUE(MID(A951,7,1))),ISNUMBER(SEARCH("km",A951)),ISNUMBER(SEARCH("of",A951))),"Distance-location","Named-region")</f>
        <v>Named-region</v>
      </c>
      <c r="V951" s="2" t="str">
        <f aca="false">LOWER(M951)</f>
        <v>mwb</v>
      </c>
      <c r="W951" s="5" t="str">
        <f aca="false">IF(COUNTIFS($A$2:$A$1001,A951,$C$2:$C$1001,C951)&gt;1,"Duplicate","Unique")</f>
        <v>Unique</v>
      </c>
    </row>
    <row r="952" customFormat="false" ht="15" hidden="false" customHeight="false" outlineLevel="0" collapsed="false">
      <c r="A952" s="2" t="s">
        <v>2459</v>
      </c>
      <c r="B952" s="3" t="n">
        <v>6.8</v>
      </c>
      <c r="C952" s="2" t="s">
        <v>2460</v>
      </c>
      <c r="D952" s="2" t="n">
        <v>0</v>
      </c>
      <c r="E952" s="2" t="n">
        <v>6</v>
      </c>
      <c r="F952" s="2"/>
      <c r="G952" s="2" t="n">
        <v>0</v>
      </c>
      <c r="H952" s="2" t="n">
        <v>711</v>
      </c>
      <c r="I952" s="2" t="s">
        <v>26</v>
      </c>
      <c r="J952" s="2" t="n">
        <v>0</v>
      </c>
      <c r="K952" s="2" t="n">
        <v>0</v>
      </c>
      <c r="L952" s="2" t="n">
        <v>0</v>
      </c>
      <c r="M952" s="2" t="s">
        <v>158</v>
      </c>
      <c r="N952" s="3" t="n">
        <v>18.3</v>
      </c>
      <c r="O952" s="3" t="n">
        <v>17.6</v>
      </c>
      <c r="P952" s="3" t="n">
        <v>-100.965</v>
      </c>
      <c r="Q952" s="3" t="s">
        <v>1063</v>
      </c>
      <c r="R952" s="2" t="s">
        <v>168</v>
      </c>
      <c r="S952" s="2" t="s">
        <v>169</v>
      </c>
      <c r="T952" s="4" t="n">
        <f aca="false">DATE(VALUE(MID(C952,7,4)),VALUE(MID(C952,4,2)),VALUE(MID(C952,1,2)))+TIME(VALUE(MID(C952,12,2)),VALUE(MID(C952,15,2)),0)</f>
        <v>35261.8909722222</v>
      </c>
      <c r="U952" s="2" t="str">
        <f aca="false">IF(AND(ISNUMBER(VALUE(MID(A952,7,1))),ISNUMBER(SEARCH("km",A952)),ISNUMBER(SEARCH("of",A952))),"Distance-location","Named-region")</f>
        <v>Named-region</v>
      </c>
      <c r="V952" s="2" t="str">
        <f aca="false">LOWER(M952)</f>
        <v>mwb</v>
      </c>
      <c r="W952" s="5" t="str">
        <f aca="false">IF(COUNTIFS($A$2:$A$1001,A952,$C$2:$C$1001,C952)&gt;1,"Duplicate","Unique")</f>
        <v>Unique</v>
      </c>
    </row>
    <row r="953" customFormat="false" ht="15" hidden="false" customHeight="false" outlineLevel="0" collapsed="false">
      <c r="A953" s="2" t="s">
        <v>2461</v>
      </c>
      <c r="B953" s="3" t="n">
        <v>7.9</v>
      </c>
      <c r="C953" s="2" t="s">
        <v>2462</v>
      </c>
      <c r="D953" s="2" t="n">
        <v>0</v>
      </c>
      <c r="E953" s="2" t="n">
        <v>4</v>
      </c>
      <c r="F953" s="2"/>
      <c r="G953" s="2" t="n">
        <v>0</v>
      </c>
      <c r="H953" s="2" t="n">
        <v>960</v>
      </c>
      <c r="I953" s="2" t="s">
        <v>26</v>
      </c>
      <c r="J953" s="2" t="n">
        <v>0</v>
      </c>
      <c r="K953" s="2" t="n">
        <v>0</v>
      </c>
      <c r="L953" s="2" t="n">
        <v>0</v>
      </c>
      <c r="M953" s="2" t="s">
        <v>131</v>
      </c>
      <c r="N953" s="3" t="n">
        <v>587.3</v>
      </c>
      <c r="O953" s="3" t="n">
        <v>-7.137</v>
      </c>
      <c r="P953" s="3" t="n">
        <v>122.589</v>
      </c>
      <c r="Q953" s="3" t="s">
        <v>676</v>
      </c>
      <c r="R953" s="2"/>
      <c r="S953" s="2" t="s">
        <v>72</v>
      </c>
      <c r="T953" s="4" t="n">
        <f aca="false">DATE(VALUE(MID(C953,7,4)),VALUE(MID(C953,4,2)),VALUE(MID(C953,1,2)))+TIME(VALUE(MID(C953,12,2)),VALUE(MID(C953,15,2)),0)</f>
        <v>35233.4736111111</v>
      </c>
      <c r="U953" s="2" t="str">
        <f aca="false">IF(AND(ISNUMBER(VALUE(MID(A953,7,1))),ISNUMBER(SEARCH("km",A953)),ISNUMBER(SEARCH("of",A953))),"Distance-location","Named-region")</f>
        <v>Named-region</v>
      </c>
      <c r="V953" s="2" t="str">
        <f aca="false">LOWER(M953)</f>
        <v>mwc</v>
      </c>
      <c r="W953" s="5" t="str">
        <f aca="false">IF(COUNTIFS($A$2:$A$1001,A953,$C$2:$C$1001,C953)&gt;1,"Duplicate","Unique")</f>
        <v>Unique</v>
      </c>
    </row>
    <row r="954" customFormat="false" ht="15" hidden="false" customHeight="false" outlineLevel="0" collapsed="false">
      <c r="A954" s="2" t="s">
        <v>2463</v>
      </c>
      <c r="B954" s="3" t="n">
        <v>7.1</v>
      </c>
      <c r="C954" s="2" t="s">
        <v>2464</v>
      </c>
      <c r="D954" s="2" t="n">
        <v>0</v>
      </c>
      <c r="E954" s="2" t="n">
        <v>6</v>
      </c>
      <c r="F954" s="2"/>
      <c r="G954" s="2" t="n">
        <v>0</v>
      </c>
      <c r="H954" s="2" t="n">
        <v>776</v>
      </c>
      <c r="I954" s="2" t="s">
        <v>26</v>
      </c>
      <c r="J954" s="2" t="n">
        <v>0</v>
      </c>
      <c r="K954" s="2" t="n">
        <v>0</v>
      </c>
      <c r="L954" s="2" t="n">
        <v>0</v>
      </c>
      <c r="M954" s="2" t="s">
        <v>131</v>
      </c>
      <c r="N954" s="3" t="n">
        <v>33</v>
      </c>
      <c r="O954" s="3" t="n">
        <v>12.614</v>
      </c>
      <c r="P954" s="3" t="n">
        <v>125.154</v>
      </c>
      <c r="Q954" s="3" t="s">
        <v>2465</v>
      </c>
      <c r="R954" s="2"/>
      <c r="S954" s="2" t="s">
        <v>195</v>
      </c>
      <c r="T954" s="4" t="n">
        <f aca="false">DATE(VALUE(MID(C954,7,4)),VALUE(MID(C954,4,2)),VALUE(MID(C954,1,2)))+TIME(VALUE(MID(C954,12,2)),VALUE(MID(C954,15,2)),0)</f>
        <v>35227.7652777778</v>
      </c>
      <c r="U954" s="2" t="str">
        <f aca="false">IF(AND(ISNUMBER(VALUE(MID(A954,7,1))),ISNUMBER(SEARCH("km",A954)),ISNUMBER(SEARCH("of",A954))),"Distance-location","Named-region")</f>
        <v>Named-region</v>
      </c>
      <c r="V954" s="2" t="str">
        <f aca="false">LOWER(M954)</f>
        <v>mwc</v>
      </c>
      <c r="W954" s="5" t="str">
        <f aca="false">IF(COUNTIFS($A$2:$A$1001,A954,$C$2:$C$1001,C954)&gt;1,"Duplicate","Unique")</f>
        <v>Unique</v>
      </c>
    </row>
    <row r="955" customFormat="false" ht="15" hidden="false" customHeight="false" outlineLevel="0" collapsed="false">
      <c r="A955" s="2" t="s">
        <v>2466</v>
      </c>
      <c r="B955" s="3" t="n">
        <v>7.3</v>
      </c>
      <c r="C955" s="2" t="s">
        <v>2467</v>
      </c>
      <c r="D955" s="2" t="n">
        <v>0</v>
      </c>
      <c r="E955" s="2" t="n">
        <v>7</v>
      </c>
      <c r="F955" s="2"/>
      <c r="G955" s="2" t="n">
        <v>0</v>
      </c>
      <c r="H955" s="2" t="n">
        <v>820</v>
      </c>
      <c r="I955" s="2" t="s">
        <v>26</v>
      </c>
      <c r="J955" s="2" t="n">
        <v>0</v>
      </c>
      <c r="K955" s="2" t="n">
        <v>0</v>
      </c>
      <c r="L955" s="2" t="n">
        <v>0</v>
      </c>
      <c r="M955" s="2" t="s">
        <v>131</v>
      </c>
      <c r="N955" s="3" t="n">
        <v>26.3</v>
      </c>
      <c r="O955" s="3" t="n">
        <v>51.478</v>
      </c>
      <c r="P955" s="3" t="n">
        <v>-176.847</v>
      </c>
      <c r="Q955" s="3" t="s">
        <v>612</v>
      </c>
      <c r="R955" s="2" t="s">
        <v>168</v>
      </c>
      <c r="S955" s="2" t="s">
        <v>265</v>
      </c>
      <c r="T955" s="4" t="n">
        <f aca="false">DATE(VALUE(MID(C955,7,4)),VALUE(MID(C955,4,2)),VALUE(MID(C955,1,2)))+TIME(VALUE(MID(C955,12,2)),VALUE(MID(C955,15,2)),0)</f>
        <v>35226.6416666667</v>
      </c>
      <c r="U955" s="2" t="str">
        <f aca="false">IF(AND(ISNUMBER(VALUE(MID(A955,7,1))),ISNUMBER(SEARCH("km",A955)),ISNUMBER(SEARCH("of",A955))),"Distance-location","Named-region")</f>
        <v>Named-region</v>
      </c>
      <c r="V955" s="2" t="str">
        <f aca="false">LOWER(M955)</f>
        <v>mwc</v>
      </c>
      <c r="W955" s="5" t="str">
        <f aca="false">IF(COUNTIFS($A$2:$A$1001,A955,$C$2:$C$1001,C955)&gt;1,"Duplicate","Unique")</f>
        <v>Unique</v>
      </c>
    </row>
    <row r="956" customFormat="false" ht="15" hidden="false" customHeight="false" outlineLevel="0" collapsed="false">
      <c r="A956" s="2" t="s">
        <v>2468</v>
      </c>
      <c r="B956" s="3" t="n">
        <v>7.9</v>
      </c>
      <c r="C956" s="2" t="s">
        <v>2469</v>
      </c>
      <c r="D956" s="2" t="n">
        <v>0</v>
      </c>
      <c r="E956" s="2" t="n">
        <v>7</v>
      </c>
      <c r="F956" s="2"/>
      <c r="G956" s="2" t="n">
        <v>0</v>
      </c>
      <c r="H956" s="2" t="n">
        <v>960</v>
      </c>
      <c r="I956" s="2" t="s">
        <v>26</v>
      </c>
      <c r="J956" s="2" t="n">
        <v>0</v>
      </c>
      <c r="K956" s="2" t="n">
        <v>0</v>
      </c>
      <c r="L956" s="2" t="n">
        <v>0</v>
      </c>
      <c r="M956" s="2" t="s">
        <v>131</v>
      </c>
      <c r="N956" s="3" t="n">
        <v>33</v>
      </c>
      <c r="O956" s="3" t="n">
        <v>51.564</v>
      </c>
      <c r="P956" s="3" t="n">
        <v>-177.632</v>
      </c>
      <c r="Q956" s="3" t="s">
        <v>612</v>
      </c>
      <c r="R956" s="2" t="s">
        <v>168</v>
      </c>
      <c r="S956" s="2" t="s">
        <v>265</v>
      </c>
      <c r="T956" s="4" t="n">
        <f aca="false">DATE(VALUE(MID(C956,7,4)),VALUE(MID(C956,4,2)),VALUE(MID(C956,1,2)))+TIME(VALUE(MID(C956,12,2)),VALUE(MID(C956,15,2)),0)</f>
        <v>35226.16875</v>
      </c>
      <c r="U956" s="2" t="str">
        <f aca="false">IF(AND(ISNUMBER(VALUE(MID(A956,7,1))),ISNUMBER(SEARCH("km",A956)),ISNUMBER(SEARCH("of",A956))),"Distance-location","Named-region")</f>
        <v>Named-region</v>
      </c>
      <c r="V956" s="2" t="str">
        <f aca="false">LOWER(M956)</f>
        <v>mwc</v>
      </c>
      <c r="W956" s="5" t="str">
        <f aca="false">IF(COUNTIFS($A$2:$A$1001,A956,$C$2:$C$1001,C956)&gt;1,"Duplicate","Unique")</f>
        <v>Unique</v>
      </c>
    </row>
    <row r="957" customFormat="false" ht="15" hidden="false" customHeight="false" outlineLevel="0" collapsed="false">
      <c r="A957" s="2" t="s">
        <v>2470</v>
      </c>
      <c r="B957" s="3" t="n">
        <v>6.7</v>
      </c>
      <c r="C957" s="2" t="s">
        <v>2471</v>
      </c>
      <c r="D957" s="2" t="n">
        <v>0</v>
      </c>
      <c r="E957" s="2" t="n">
        <v>4</v>
      </c>
      <c r="F957" s="2"/>
      <c r="G957" s="2" t="n">
        <v>0</v>
      </c>
      <c r="H957" s="2" t="n">
        <v>691</v>
      </c>
      <c r="I957" s="2" t="s">
        <v>26</v>
      </c>
      <c r="J957" s="2" t="n">
        <v>0</v>
      </c>
      <c r="K957" s="2" t="n">
        <v>0</v>
      </c>
      <c r="L957" s="2" t="n">
        <v>0</v>
      </c>
      <c r="M957" s="2" t="s">
        <v>131</v>
      </c>
      <c r="N957" s="3" t="n">
        <v>200.1</v>
      </c>
      <c r="O957" s="3" t="n">
        <v>-13.481</v>
      </c>
      <c r="P957" s="3" t="n">
        <v>167.13</v>
      </c>
      <c r="Q957" s="3" t="s">
        <v>28</v>
      </c>
      <c r="R957" s="2"/>
      <c r="S957" s="2" t="s">
        <v>29</v>
      </c>
      <c r="T957" s="4" t="n">
        <f aca="false">DATE(VALUE(MID(C957,7,4)),VALUE(MID(C957,4,2)),VALUE(MID(C957,1,2)))+TIME(VALUE(MID(C957,12,2)),VALUE(MID(C957,15,2)),0)</f>
        <v>35226.0444444444</v>
      </c>
      <c r="U957" s="2" t="str">
        <f aca="false">IF(AND(ISNUMBER(VALUE(MID(A957,7,1))),ISNUMBER(SEARCH("km",A957)),ISNUMBER(SEARCH("of",A957))),"Distance-location","Named-region")</f>
        <v>Named-region</v>
      </c>
      <c r="V957" s="2" t="str">
        <f aca="false">LOWER(M957)</f>
        <v>mwc</v>
      </c>
      <c r="W957" s="5" t="str">
        <f aca="false">IF(COUNTIFS($A$2:$A$1001,A957,$C$2:$C$1001,C957)&gt;1,"Duplicate","Unique")</f>
        <v>Unique</v>
      </c>
    </row>
    <row r="958" customFormat="false" ht="15" hidden="false" customHeight="false" outlineLevel="0" collapsed="false">
      <c r="A958" s="2" t="s">
        <v>2472</v>
      </c>
      <c r="B958" s="3" t="n">
        <v>7.2</v>
      </c>
      <c r="C958" s="2" t="s">
        <v>2473</v>
      </c>
      <c r="D958" s="2" t="n">
        <v>0</v>
      </c>
      <c r="E958" s="2" t="n">
        <v>6</v>
      </c>
      <c r="F958" s="2"/>
      <c r="G958" s="2" t="n">
        <v>0</v>
      </c>
      <c r="H958" s="2" t="n">
        <v>798</v>
      </c>
      <c r="I958" s="2" t="s">
        <v>26</v>
      </c>
      <c r="J958" s="2" t="n">
        <v>0</v>
      </c>
      <c r="K958" s="2" t="n">
        <v>0</v>
      </c>
      <c r="L958" s="2" t="n">
        <v>0</v>
      </c>
      <c r="M958" s="2" t="s">
        <v>131</v>
      </c>
      <c r="N958" s="3" t="n">
        <v>44</v>
      </c>
      <c r="O958" s="3" t="n">
        <v>-6.518</v>
      </c>
      <c r="P958" s="3" t="n">
        <v>154.999</v>
      </c>
      <c r="Q958" s="3" t="s">
        <v>740</v>
      </c>
      <c r="R958" s="2"/>
      <c r="S958" s="2" t="s">
        <v>89</v>
      </c>
      <c r="T958" s="4" t="n">
        <f aca="false">DATE(VALUE(MID(C958,7,4)),VALUE(MID(C958,4,2)),VALUE(MID(C958,1,2)))+TIME(VALUE(MID(C958,12,2)),VALUE(MID(C958,15,2)),0)</f>
        <v>35184.6111111111</v>
      </c>
      <c r="U958" s="2" t="str">
        <f aca="false">IF(AND(ISNUMBER(VALUE(MID(A958,7,1))),ISNUMBER(SEARCH("km",A958)),ISNUMBER(SEARCH("of",A958))),"Distance-location","Named-region")</f>
        <v>Named-region</v>
      </c>
      <c r="V958" s="2" t="str">
        <f aca="false">LOWER(M958)</f>
        <v>mwc</v>
      </c>
      <c r="W958" s="5" t="str">
        <f aca="false">IF(COUNTIFS($A$2:$A$1001,A958,$C$2:$C$1001,C958)&gt;1,"Duplicate","Unique")</f>
        <v>Unique</v>
      </c>
    </row>
    <row r="959" customFormat="false" ht="15" hidden="false" customHeight="false" outlineLevel="0" collapsed="false">
      <c r="A959" s="2" t="s">
        <v>2474</v>
      </c>
      <c r="B959" s="3" t="n">
        <v>6.6</v>
      </c>
      <c r="C959" s="2" t="s">
        <v>2475</v>
      </c>
      <c r="D959" s="2" t="n">
        <v>0</v>
      </c>
      <c r="E959" s="2" t="n">
        <v>7</v>
      </c>
      <c r="F959" s="2"/>
      <c r="G959" s="2" t="n">
        <v>0</v>
      </c>
      <c r="H959" s="2" t="n">
        <v>670</v>
      </c>
      <c r="I959" s="2" t="s">
        <v>26</v>
      </c>
      <c r="J959" s="2" t="n">
        <v>0</v>
      </c>
      <c r="K959" s="2" t="n">
        <v>0</v>
      </c>
      <c r="L959" s="2" t="n">
        <v>0</v>
      </c>
      <c r="M959" s="2" t="s">
        <v>158</v>
      </c>
      <c r="N959" s="3" t="n">
        <v>49.5</v>
      </c>
      <c r="O959" s="3" t="n">
        <v>-23.944</v>
      </c>
      <c r="P959" s="3" t="n">
        <v>-70.093</v>
      </c>
      <c r="Q959" s="3" t="s">
        <v>1634</v>
      </c>
      <c r="R959" s="2" t="s">
        <v>37</v>
      </c>
      <c r="S959" s="2" t="s">
        <v>377</v>
      </c>
      <c r="T959" s="4" t="n">
        <f aca="false">DATE(VALUE(MID(C959,7,4)),VALUE(MID(C959,4,2)),VALUE(MID(C959,1,2)))+TIME(VALUE(MID(C959,12,2)),VALUE(MID(C959,15,2)),0)</f>
        <v>35174.0131944444</v>
      </c>
      <c r="U959" s="2" t="str">
        <f aca="false">IF(AND(ISNUMBER(VALUE(MID(A959,7,1))),ISNUMBER(SEARCH("km",A959)),ISNUMBER(SEARCH("of",A959))),"Distance-location","Named-region")</f>
        <v>Named-region</v>
      </c>
      <c r="V959" s="2" t="str">
        <f aca="false">LOWER(M959)</f>
        <v>mwb</v>
      </c>
      <c r="W959" s="5" t="str">
        <f aca="false">IF(COUNTIFS($A$2:$A$1001,A959,$C$2:$C$1001,C959)&gt;1,"Duplicate","Unique")</f>
        <v>Unique</v>
      </c>
    </row>
    <row r="960" customFormat="false" ht="15" hidden="false" customHeight="false" outlineLevel="0" collapsed="false">
      <c r="A960" s="2" t="s">
        <v>2476</v>
      </c>
      <c r="B960" s="3" t="n">
        <v>6.7</v>
      </c>
      <c r="C960" s="2" t="s">
        <v>2477</v>
      </c>
      <c r="D960" s="2" t="n">
        <v>0</v>
      </c>
      <c r="E960" s="2" t="n">
        <v>5</v>
      </c>
      <c r="F960" s="2"/>
      <c r="G960" s="2" t="n">
        <v>0</v>
      </c>
      <c r="H960" s="2" t="n">
        <v>691</v>
      </c>
      <c r="I960" s="2" t="s">
        <v>26</v>
      </c>
      <c r="J960" s="2" t="n">
        <v>0</v>
      </c>
      <c r="K960" s="2" t="n">
        <v>0</v>
      </c>
      <c r="L960" s="2" t="n">
        <v>0</v>
      </c>
      <c r="M960" s="2" t="s">
        <v>131</v>
      </c>
      <c r="N960" s="3" t="n">
        <v>164.4</v>
      </c>
      <c r="O960" s="3" t="n">
        <v>-14.705</v>
      </c>
      <c r="P960" s="3" t="n">
        <v>167.297</v>
      </c>
      <c r="Q960" s="3" t="s">
        <v>108</v>
      </c>
      <c r="R960" s="2"/>
      <c r="S960" s="2" t="s">
        <v>29</v>
      </c>
      <c r="T960" s="4" t="n">
        <f aca="false">DATE(VALUE(MID(C960,7,4)),VALUE(MID(C960,4,2)),VALUE(MID(C960,1,2)))+TIME(VALUE(MID(C960,12,2)),VALUE(MID(C960,15,2)),0)</f>
        <v>35141.6166666667</v>
      </c>
      <c r="U960" s="2" t="str">
        <f aca="false">IF(AND(ISNUMBER(VALUE(MID(A960,7,1))),ISNUMBER(SEARCH("km",A960)),ISNUMBER(SEARCH("of",A960))),"Distance-location","Named-region")</f>
        <v>Named-region</v>
      </c>
      <c r="V960" s="2" t="str">
        <f aca="false">LOWER(M960)</f>
        <v>mwc</v>
      </c>
      <c r="W960" s="5" t="str">
        <f aca="false">IF(COUNTIFS($A$2:$A$1001,A960,$C$2:$C$1001,C960)&gt;1,"Duplicate","Unique")</f>
        <v>Unique</v>
      </c>
    </row>
    <row r="961" customFormat="false" ht="15" hidden="false" customHeight="false" outlineLevel="0" collapsed="false">
      <c r="A961" s="2" t="s">
        <v>2478</v>
      </c>
      <c r="B961" s="3" t="n">
        <v>6.7</v>
      </c>
      <c r="C961" s="2" t="s">
        <v>2479</v>
      </c>
      <c r="D961" s="2" t="n">
        <v>0</v>
      </c>
      <c r="E961" s="2" t="n">
        <v>6</v>
      </c>
      <c r="F961" s="2"/>
      <c r="G961" s="2" t="n">
        <v>0</v>
      </c>
      <c r="H961" s="2" t="n">
        <v>691</v>
      </c>
      <c r="I961" s="2" t="s">
        <v>26</v>
      </c>
      <c r="J961" s="2" t="n">
        <v>0</v>
      </c>
      <c r="K961" s="2" t="n">
        <v>0</v>
      </c>
      <c r="L961" s="2" t="n">
        <v>0</v>
      </c>
      <c r="M961" s="2" t="s">
        <v>131</v>
      </c>
      <c r="N961" s="3" t="n">
        <v>33</v>
      </c>
      <c r="O961" s="3" t="n">
        <v>11.905</v>
      </c>
      <c r="P961" s="3" t="n">
        <v>-86.772</v>
      </c>
      <c r="Q961" s="3" t="s">
        <v>2480</v>
      </c>
      <c r="R961" s="2"/>
      <c r="S961" s="2" t="s">
        <v>1073</v>
      </c>
      <c r="T961" s="4" t="n">
        <f aca="false">DATE(VALUE(MID(C961,7,4)),VALUE(MID(C961,4,2)),VALUE(MID(C961,1,2)))+TIME(VALUE(MID(C961,12,2)),VALUE(MID(C961,15,2)),0)</f>
        <v>35127.6923611111</v>
      </c>
      <c r="U961" s="2" t="str">
        <f aca="false">IF(AND(ISNUMBER(VALUE(MID(A961,7,1))),ISNUMBER(SEARCH("km",A961)),ISNUMBER(SEARCH("of",A961))),"Distance-location","Named-region")</f>
        <v>Named-region</v>
      </c>
      <c r="V961" s="2" t="str">
        <f aca="false">LOWER(M961)</f>
        <v>mwc</v>
      </c>
      <c r="W961" s="5" t="str">
        <f aca="false">IF(COUNTIFS($A$2:$A$1001,A961,$C$2:$C$1001,C961)&gt;1,"Duplicate","Unique")</f>
        <v>Unique</v>
      </c>
    </row>
    <row r="962" customFormat="false" ht="15" hidden="false" customHeight="false" outlineLevel="0" collapsed="false">
      <c r="A962" s="2" t="s">
        <v>2481</v>
      </c>
      <c r="B962" s="3" t="n">
        <v>6.6</v>
      </c>
      <c r="C962" s="2" t="s">
        <v>2482</v>
      </c>
      <c r="D962" s="2" t="n">
        <v>0</v>
      </c>
      <c r="E962" s="2" t="n">
        <v>6</v>
      </c>
      <c r="F962" s="2"/>
      <c r="G962" s="2" t="n">
        <v>0</v>
      </c>
      <c r="H962" s="2" t="n">
        <v>670</v>
      </c>
      <c r="I962" s="2" t="s">
        <v>26</v>
      </c>
      <c r="J962" s="2" t="n">
        <v>0</v>
      </c>
      <c r="K962" s="2" t="n">
        <v>0</v>
      </c>
      <c r="L962" s="2" t="n">
        <v>0</v>
      </c>
      <c r="M962" s="2" t="s">
        <v>131</v>
      </c>
      <c r="N962" s="3" t="n">
        <v>33</v>
      </c>
      <c r="O962" s="3" t="n">
        <v>11.657</v>
      </c>
      <c r="P962" s="3" t="n">
        <v>-86.856</v>
      </c>
      <c r="Q962" s="3" t="s">
        <v>210</v>
      </c>
      <c r="R962" s="2"/>
      <c r="S962" s="2"/>
      <c r="T962" s="4" t="n">
        <f aca="false">DATE(VALUE(MID(C962,7,4)),VALUE(MID(C962,4,2)),VALUE(MID(C962,1,2)))+TIME(VALUE(MID(C962,12,2)),VALUE(MID(C962,15,2)),0)</f>
        <v>35127.6215277778</v>
      </c>
      <c r="U962" s="2" t="str">
        <f aca="false">IF(AND(ISNUMBER(VALUE(MID(A962,7,1))),ISNUMBER(SEARCH("km",A962)),ISNUMBER(SEARCH("of",A962))),"Distance-location","Named-region")</f>
        <v>Named-region</v>
      </c>
      <c r="V962" s="2" t="str">
        <f aca="false">LOWER(M962)</f>
        <v>mwc</v>
      </c>
      <c r="W962" s="5" t="str">
        <f aca="false">IF(COUNTIFS($A$2:$A$1001,A962,$C$2:$C$1001,C962)&gt;1,"Duplicate","Unique")</f>
        <v>Unique</v>
      </c>
    </row>
    <row r="963" customFormat="false" ht="28.35" hidden="false" customHeight="false" outlineLevel="0" collapsed="false">
      <c r="A963" s="2" t="s">
        <v>2483</v>
      </c>
      <c r="B963" s="3" t="n">
        <v>7.1</v>
      </c>
      <c r="C963" s="2" t="s">
        <v>2484</v>
      </c>
      <c r="D963" s="2" t="n">
        <v>0</v>
      </c>
      <c r="E963" s="2" t="n">
        <v>7</v>
      </c>
      <c r="F963" s="2"/>
      <c r="G963" s="2" t="n">
        <v>0</v>
      </c>
      <c r="H963" s="2" t="n">
        <v>776</v>
      </c>
      <c r="I963" s="2" t="s">
        <v>26</v>
      </c>
      <c r="J963" s="2" t="n">
        <v>0</v>
      </c>
      <c r="K963" s="2" t="n">
        <v>0</v>
      </c>
      <c r="L963" s="2" t="n">
        <v>0</v>
      </c>
      <c r="M963" s="2" t="s">
        <v>489</v>
      </c>
      <c r="N963" s="3" t="n">
        <v>21.1</v>
      </c>
      <c r="O963" s="3" t="n">
        <v>15.978</v>
      </c>
      <c r="P963" s="3" t="n">
        <v>-98.07</v>
      </c>
      <c r="Q963" s="3" t="s">
        <v>2485</v>
      </c>
      <c r="R963" s="2" t="s">
        <v>168</v>
      </c>
      <c r="S963" s="2" t="s">
        <v>169</v>
      </c>
      <c r="T963" s="4" t="n">
        <f aca="false">DATE(VALUE(MID(C963,7,4)),VALUE(MID(C963,4,2)),VALUE(MID(C963,1,2)))+TIME(VALUE(MID(C963,12,2)),VALUE(MID(C963,15,2)),0)</f>
        <v>35120.1305555556</v>
      </c>
      <c r="U963" s="2" t="str">
        <f aca="false">IF(AND(ISNUMBER(VALUE(MID(A963,7,1))),ISNUMBER(SEARCH("km",A963)),ISNUMBER(SEARCH("of",A963))),"Distance-location","Named-region")</f>
        <v>Named-region</v>
      </c>
      <c r="V963" s="2" t="str">
        <f aca="false">LOWER(M963)</f>
        <v>mw</v>
      </c>
      <c r="W963" s="5" t="str">
        <f aca="false">IF(COUNTIFS($A$2:$A$1001,A963,$C$2:$C$1001,C963)&gt;1,"Duplicate","Unique")</f>
        <v>Unique</v>
      </c>
    </row>
    <row r="964" customFormat="false" ht="15" hidden="false" customHeight="false" outlineLevel="0" collapsed="false">
      <c r="A964" s="2" t="s">
        <v>2486</v>
      </c>
      <c r="B964" s="3" t="n">
        <v>7.5</v>
      </c>
      <c r="C964" s="2" t="s">
        <v>2487</v>
      </c>
      <c r="D964" s="2" t="n">
        <v>0</v>
      </c>
      <c r="E964" s="2" t="n">
        <v>6</v>
      </c>
      <c r="F964" s="2"/>
      <c r="G964" s="2" t="n">
        <v>0</v>
      </c>
      <c r="H964" s="2" t="n">
        <v>865</v>
      </c>
      <c r="I964" s="2" t="s">
        <v>26</v>
      </c>
      <c r="J964" s="2" t="n">
        <v>0</v>
      </c>
      <c r="K964" s="2" t="n">
        <v>0</v>
      </c>
      <c r="L964" s="2" t="n">
        <v>0</v>
      </c>
      <c r="M964" s="2" t="s">
        <v>489</v>
      </c>
      <c r="N964" s="3" t="n">
        <v>10</v>
      </c>
      <c r="O964" s="3" t="n">
        <v>-9.593</v>
      </c>
      <c r="P964" s="3" t="n">
        <v>-79.587</v>
      </c>
      <c r="Q964" s="3" t="s">
        <v>2488</v>
      </c>
      <c r="R964" s="2"/>
      <c r="S964" s="2" t="s">
        <v>203</v>
      </c>
      <c r="T964" s="4" t="n">
        <f aca="false">DATE(VALUE(MID(C964,7,4)),VALUE(MID(C964,4,2)),VALUE(MID(C964,1,2)))+TIME(VALUE(MID(C964,12,2)),VALUE(MID(C964,15,2)),0)</f>
        <v>35116.5354166667</v>
      </c>
      <c r="U964" s="2" t="str">
        <f aca="false">IF(AND(ISNUMBER(VALUE(MID(A964,7,1))),ISNUMBER(SEARCH("km",A964)),ISNUMBER(SEARCH("of",A964))),"Distance-location","Named-region")</f>
        <v>Named-region</v>
      </c>
      <c r="V964" s="2" t="str">
        <f aca="false">LOWER(M964)</f>
        <v>mw</v>
      </c>
      <c r="W964" s="5" t="str">
        <f aca="false">IF(COUNTIFS($A$2:$A$1001,A964,$C$2:$C$1001,C964)&gt;1,"Duplicate","Unique")</f>
        <v>Unique</v>
      </c>
    </row>
    <row r="965" customFormat="false" ht="15" hidden="false" customHeight="false" outlineLevel="0" collapsed="false">
      <c r="A965" s="2" t="s">
        <v>2489</v>
      </c>
      <c r="B965" s="3" t="n">
        <v>6.5</v>
      </c>
      <c r="C965" s="2" t="s">
        <v>2490</v>
      </c>
      <c r="D965" s="2" t="n">
        <v>0</v>
      </c>
      <c r="E965" s="2" t="n">
        <v>6</v>
      </c>
      <c r="F965" s="2"/>
      <c r="G965" s="2" t="n">
        <v>0</v>
      </c>
      <c r="H965" s="2" t="n">
        <v>650</v>
      </c>
      <c r="I965" s="2" t="s">
        <v>26</v>
      </c>
      <c r="J965" s="2" t="n">
        <v>0</v>
      </c>
      <c r="K965" s="2" t="n">
        <v>0</v>
      </c>
      <c r="L965" s="2" t="n">
        <v>0</v>
      </c>
      <c r="M965" s="2" t="s">
        <v>489</v>
      </c>
      <c r="N965" s="3" t="n">
        <v>31.9</v>
      </c>
      <c r="O965" s="3" t="n">
        <v>-0.917</v>
      </c>
      <c r="P965" s="3" t="n">
        <v>136.225</v>
      </c>
      <c r="Q965" s="3" t="s">
        <v>1446</v>
      </c>
      <c r="R965" s="2"/>
      <c r="S965" s="2" t="s">
        <v>72</v>
      </c>
      <c r="T965" s="4" t="n">
        <f aca="false">DATE(VALUE(MID(C965,7,4)),VALUE(MID(C965,4,2)),VALUE(MID(C965,1,2)))+TIME(VALUE(MID(C965,12,2)),VALUE(MID(C965,15,2)),0)</f>
        <v>35112.8458333333</v>
      </c>
      <c r="U965" s="2" t="str">
        <f aca="false">IF(AND(ISNUMBER(VALUE(MID(A965,7,1))),ISNUMBER(SEARCH("km",A965)),ISNUMBER(SEARCH("of",A965))),"Distance-location","Named-region")</f>
        <v>Named-region</v>
      </c>
      <c r="V965" s="2" t="str">
        <f aca="false">LOWER(M965)</f>
        <v>mw</v>
      </c>
      <c r="W965" s="5" t="str">
        <f aca="false">IF(COUNTIFS($A$2:$A$1001,A965,$C$2:$C$1001,C965)&gt;1,"Duplicate","Unique")</f>
        <v>Unique</v>
      </c>
    </row>
    <row r="966" customFormat="false" ht="15" hidden="false" customHeight="false" outlineLevel="0" collapsed="false">
      <c r="A966" s="2" t="s">
        <v>2491</v>
      </c>
      <c r="B966" s="3" t="n">
        <v>6.5</v>
      </c>
      <c r="C966" s="2" t="s">
        <v>2492</v>
      </c>
      <c r="D966" s="2" t="n">
        <v>0</v>
      </c>
      <c r="E966" s="2" t="n">
        <v>6</v>
      </c>
      <c r="F966" s="2"/>
      <c r="G966" s="2" t="n">
        <v>0</v>
      </c>
      <c r="H966" s="2" t="n">
        <v>650</v>
      </c>
      <c r="I966" s="2" t="s">
        <v>26</v>
      </c>
      <c r="J966" s="2" t="n">
        <v>0</v>
      </c>
      <c r="K966" s="2" t="n">
        <v>0</v>
      </c>
      <c r="L966" s="2" t="n">
        <v>0</v>
      </c>
      <c r="M966" s="2" t="s">
        <v>489</v>
      </c>
      <c r="N966" s="3" t="n">
        <v>19.2</v>
      </c>
      <c r="O966" s="3" t="n">
        <v>-0.567</v>
      </c>
      <c r="P966" s="3" t="n">
        <v>135.84</v>
      </c>
      <c r="Q966" s="3" t="s">
        <v>2493</v>
      </c>
      <c r="R966" s="2"/>
      <c r="S966" s="2" t="s">
        <v>72</v>
      </c>
      <c r="T966" s="4" t="n">
        <f aca="false">DATE(VALUE(MID(C966,7,4)),VALUE(MID(C966,4,2)),VALUE(MID(C966,1,2)))+TIME(VALUE(MID(C966,12,2)),VALUE(MID(C966,15,2)),0)</f>
        <v>35112.5979166667</v>
      </c>
      <c r="U966" s="2" t="str">
        <f aca="false">IF(AND(ISNUMBER(VALUE(MID(A966,7,1))),ISNUMBER(SEARCH("km",A966)),ISNUMBER(SEARCH("of",A966))),"Distance-location","Named-region")</f>
        <v>Named-region</v>
      </c>
      <c r="V966" s="2" t="str">
        <f aca="false">LOWER(M966)</f>
        <v>mw</v>
      </c>
      <c r="W966" s="5" t="str">
        <f aca="false">IF(COUNTIFS($A$2:$A$1001,A966,$C$2:$C$1001,C966)&gt;1,"Duplicate","Unique")</f>
        <v>Unique</v>
      </c>
    </row>
    <row r="967" customFormat="false" ht="15" hidden="false" customHeight="false" outlineLevel="0" collapsed="false">
      <c r="A967" s="2" t="s">
        <v>2494</v>
      </c>
      <c r="B967" s="3" t="n">
        <v>8.09</v>
      </c>
      <c r="C967" s="2" t="s">
        <v>2495</v>
      </c>
      <c r="D967" s="2" t="n">
        <v>0</v>
      </c>
      <c r="E967" s="2" t="n">
        <v>8</v>
      </c>
      <c r="F967" s="2"/>
      <c r="G967" s="2" t="n">
        <v>0</v>
      </c>
      <c r="H967" s="2" t="n">
        <v>1007</v>
      </c>
      <c r="I967" s="2" t="s">
        <v>1297</v>
      </c>
      <c r="J967" s="2" t="n">
        <v>0</v>
      </c>
      <c r="K967" s="2" t="n">
        <v>0</v>
      </c>
      <c r="L967" s="2" t="n">
        <v>0</v>
      </c>
      <c r="M967" s="2" t="s">
        <v>27</v>
      </c>
      <c r="N967" s="3" t="n">
        <v>33</v>
      </c>
      <c r="O967" s="3" t="n">
        <v>-0.891</v>
      </c>
      <c r="P967" s="3" t="n">
        <v>136.952</v>
      </c>
      <c r="Q967" s="3" t="s">
        <v>1446</v>
      </c>
      <c r="R967" s="2"/>
      <c r="S967" s="2"/>
      <c r="T967" s="4" t="n">
        <f aca="false">DATE(VALUE(MID(C967,7,4)),VALUE(MID(C967,4,2)),VALUE(MID(C967,1,2)))+TIME(VALUE(MID(C967,12,2)),VALUE(MID(C967,15,2)),0)</f>
        <v>35112.2493055556</v>
      </c>
      <c r="U967" s="2" t="str">
        <f aca="false">IF(AND(ISNUMBER(VALUE(MID(A967,7,1))),ISNUMBER(SEARCH("km",A967)),ISNUMBER(SEARCH("of",A967))),"Distance-location","Named-region")</f>
        <v>Named-region</v>
      </c>
      <c r="V967" s="2" t="str">
        <f aca="false">LOWER(M967)</f>
        <v>mww</v>
      </c>
      <c r="W967" s="5" t="str">
        <f aca="false">IF(COUNTIFS($A$2:$A$1001,A967,$C$2:$C$1001,C967)&gt;1,"Duplicate","Unique")</f>
        <v>Unique</v>
      </c>
    </row>
    <row r="968" customFormat="false" ht="15" hidden="false" customHeight="false" outlineLevel="0" collapsed="false">
      <c r="A968" s="2" t="s">
        <v>2496</v>
      </c>
      <c r="B968" s="3" t="n">
        <v>6.7</v>
      </c>
      <c r="C968" s="2" t="s">
        <v>2497</v>
      </c>
      <c r="D968" s="2" t="n">
        <v>0</v>
      </c>
      <c r="E968" s="2" t="n">
        <v>4</v>
      </c>
      <c r="F968" s="2"/>
      <c r="G968" s="2" t="n">
        <v>0</v>
      </c>
      <c r="H968" s="2" t="n">
        <v>691</v>
      </c>
      <c r="I968" s="2" t="s">
        <v>26</v>
      </c>
      <c r="J968" s="2" t="n">
        <v>0</v>
      </c>
      <c r="K968" s="2" t="n">
        <v>0</v>
      </c>
      <c r="L968" s="2" t="n">
        <v>0</v>
      </c>
      <c r="M968" s="2" t="s">
        <v>489</v>
      </c>
      <c r="N968" s="3" t="n">
        <v>40.8</v>
      </c>
      <c r="O968" s="3" t="n">
        <v>37.353</v>
      </c>
      <c r="P968" s="3" t="n">
        <v>142.38</v>
      </c>
      <c r="Q968" s="3" t="s">
        <v>221</v>
      </c>
      <c r="R968" s="2"/>
      <c r="S968" s="2"/>
      <c r="T968" s="4" t="n">
        <f aca="false">DATE(VALUE(MID(C968,7,4)),VALUE(MID(C968,4,2)),VALUE(MID(C968,1,2)))+TIME(VALUE(MID(C968,12,2)),VALUE(MID(C968,15,2)),0)</f>
        <v>35111.6402777778</v>
      </c>
      <c r="U968" s="2" t="str">
        <f aca="false">IF(AND(ISNUMBER(VALUE(MID(A968,7,1))),ISNUMBER(SEARCH("km",A968)),ISNUMBER(SEARCH("of",A968))),"Distance-location","Named-region")</f>
        <v>Named-region</v>
      </c>
      <c r="V968" s="2" t="str">
        <f aca="false">LOWER(M968)</f>
        <v>mw</v>
      </c>
      <c r="W968" s="5" t="str">
        <f aca="false">IF(COUNTIFS($A$2:$A$1001,A968,$C$2:$C$1001,C968)&gt;1,"Duplicate","Unique")</f>
        <v>Unique</v>
      </c>
    </row>
    <row r="969" customFormat="false" ht="15" hidden="false" customHeight="false" outlineLevel="0" collapsed="false">
      <c r="A969" s="2" t="s">
        <v>2498</v>
      </c>
      <c r="B969" s="3" t="n">
        <v>7.2</v>
      </c>
      <c r="C969" s="2" t="s">
        <v>2499</v>
      </c>
      <c r="D969" s="2" t="n">
        <v>0</v>
      </c>
      <c r="E969" s="2" t="n">
        <v>6</v>
      </c>
      <c r="F969" s="2"/>
      <c r="G969" s="2" t="n">
        <v>0</v>
      </c>
      <c r="H969" s="2" t="n">
        <v>798</v>
      </c>
      <c r="I969" s="2" t="s">
        <v>26</v>
      </c>
      <c r="J969" s="2" t="n">
        <v>0</v>
      </c>
      <c r="K969" s="2" t="n">
        <v>0</v>
      </c>
      <c r="L969" s="2" t="n">
        <v>0</v>
      </c>
      <c r="M969" s="2" t="s">
        <v>489</v>
      </c>
      <c r="N969" s="3" t="n">
        <v>42.6</v>
      </c>
      <c r="O969" s="3" t="n">
        <v>45.324</v>
      </c>
      <c r="P969" s="3" t="n">
        <v>149.892</v>
      </c>
      <c r="Q969" s="3" t="s">
        <v>431</v>
      </c>
      <c r="R969" s="2"/>
      <c r="S969" s="2"/>
      <c r="T969" s="4" t="n">
        <f aca="false">DATE(VALUE(MID(C969,7,4)),VALUE(MID(C969,4,2)),VALUE(MID(C969,1,2)))+TIME(VALUE(MID(C969,12,2)),VALUE(MID(C969,15,2)),0)</f>
        <v>35102.9</v>
      </c>
      <c r="U969" s="2" t="str">
        <f aca="false">IF(AND(ISNUMBER(VALUE(MID(A969,7,1))),ISNUMBER(SEARCH("km",A969)),ISNUMBER(SEARCH("of",A969))),"Distance-location","Named-region")</f>
        <v>Named-region</v>
      </c>
      <c r="V969" s="2" t="str">
        <f aca="false">LOWER(M969)</f>
        <v>mw</v>
      </c>
      <c r="W969" s="5" t="str">
        <f aca="false">IF(COUNTIFS($A$2:$A$1001,A969,$C$2:$C$1001,C969)&gt;1,"Duplicate","Unique")</f>
        <v>Unique</v>
      </c>
    </row>
    <row r="970" customFormat="false" ht="15" hidden="false" customHeight="false" outlineLevel="0" collapsed="false">
      <c r="A970" s="2" t="s">
        <v>2500</v>
      </c>
      <c r="B970" s="3" t="n">
        <v>6.6</v>
      </c>
      <c r="C970" s="2" t="s">
        <v>2501</v>
      </c>
      <c r="D970" s="2" t="n">
        <v>0</v>
      </c>
      <c r="E970" s="2" t="n">
        <v>10</v>
      </c>
      <c r="F970" s="2"/>
      <c r="G970" s="2" t="n">
        <v>0</v>
      </c>
      <c r="H970" s="2" t="n">
        <v>670</v>
      </c>
      <c r="I970" s="2" t="s">
        <v>26</v>
      </c>
      <c r="J970" s="2" t="n">
        <v>0</v>
      </c>
      <c r="K970" s="2" t="n">
        <v>0</v>
      </c>
      <c r="L970" s="2" t="n">
        <v>0</v>
      </c>
      <c r="M970" s="2" t="s">
        <v>489</v>
      </c>
      <c r="N970" s="3" t="n">
        <v>11.1</v>
      </c>
      <c r="O970" s="3" t="n">
        <v>27.291</v>
      </c>
      <c r="P970" s="3" t="n">
        <v>100.276</v>
      </c>
      <c r="Q970" s="3" t="s">
        <v>2502</v>
      </c>
      <c r="R970" s="2" t="s">
        <v>84</v>
      </c>
      <c r="S970" s="2" t="s">
        <v>188</v>
      </c>
      <c r="T970" s="4" t="n">
        <f aca="false">DATE(VALUE(MID(C970,7,4)),VALUE(MID(C970,4,2)),VALUE(MID(C970,1,2)))+TIME(VALUE(MID(C970,12,2)),VALUE(MID(C970,15,2)),0)</f>
        <v>35098.4680555556</v>
      </c>
      <c r="U970" s="2" t="str">
        <f aca="false">IF(AND(ISNUMBER(VALUE(MID(A970,7,1))),ISNUMBER(SEARCH("km",A970)),ISNUMBER(SEARCH("of",A970))),"Distance-location","Named-region")</f>
        <v>Named-region</v>
      </c>
      <c r="V970" s="2" t="str">
        <f aca="false">LOWER(M970)</f>
        <v>mw</v>
      </c>
      <c r="W970" s="5" t="str">
        <f aca="false">IF(COUNTIFS($A$2:$A$1001,A970,$C$2:$C$1001,C970)&gt;1,"Duplicate","Unique")</f>
        <v>Unique</v>
      </c>
    </row>
    <row r="971" customFormat="false" ht="15" hidden="false" customHeight="false" outlineLevel="0" collapsed="false">
      <c r="A971" s="2" t="s">
        <v>2503</v>
      </c>
      <c r="B971" s="3" t="n">
        <v>6.6</v>
      </c>
      <c r="C971" s="2" t="s">
        <v>2504</v>
      </c>
      <c r="D971" s="2" t="n">
        <v>0</v>
      </c>
      <c r="E971" s="2" t="n">
        <v>7</v>
      </c>
      <c r="F971" s="2"/>
      <c r="G971" s="2" t="n">
        <v>0</v>
      </c>
      <c r="H971" s="2" t="n">
        <v>670</v>
      </c>
      <c r="I971" s="2" t="s">
        <v>26</v>
      </c>
      <c r="J971" s="2" t="n">
        <v>0</v>
      </c>
      <c r="K971" s="2" t="n">
        <v>0</v>
      </c>
      <c r="L971" s="2" t="n">
        <v>0</v>
      </c>
      <c r="M971" s="2" t="s">
        <v>1374</v>
      </c>
      <c r="N971" s="3" t="n">
        <v>33</v>
      </c>
      <c r="O971" s="3" t="n">
        <v>53.826</v>
      </c>
      <c r="P971" s="3" t="n">
        <v>159.586</v>
      </c>
      <c r="Q971" s="3" t="s">
        <v>2505</v>
      </c>
      <c r="R971" s="2" t="s">
        <v>84</v>
      </c>
      <c r="S971" s="2" t="s">
        <v>432</v>
      </c>
      <c r="T971" s="4" t="n">
        <f aca="false">DATE(VALUE(MID(C971,7,4)),VALUE(MID(C971,4,2)),VALUE(MID(C971,1,2)))+TIME(VALUE(MID(C971,12,2)),VALUE(MID(C971,15,2)),0)</f>
        <v>35065.4145833333</v>
      </c>
      <c r="U971" s="2" t="str">
        <f aca="false">IF(AND(ISNUMBER(VALUE(MID(A971,7,1))),ISNUMBER(SEARCH("km",A971)),ISNUMBER(SEARCH("of",A971))),"Distance-location","Named-region")</f>
        <v>Named-region</v>
      </c>
      <c r="V971" s="2" t="str">
        <f aca="false">LOWER(M971)</f>
        <v>ms</v>
      </c>
      <c r="W971" s="5" t="str">
        <f aca="false">IF(COUNTIFS($A$2:$A$1001,A971,$C$2:$C$1001,C971)&gt;1,"Duplicate","Unique")</f>
        <v>Unique</v>
      </c>
    </row>
    <row r="972" customFormat="false" ht="15" hidden="false" customHeight="false" outlineLevel="0" collapsed="false">
      <c r="A972" s="2" t="s">
        <v>2506</v>
      </c>
      <c r="B972" s="3" t="n">
        <v>7.9</v>
      </c>
      <c r="C972" s="2" t="s">
        <v>2507</v>
      </c>
      <c r="D972" s="2" t="n">
        <v>0</v>
      </c>
      <c r="E972" s="2" t="n">
        <v>8</v>
      </c>
      <c r="F972" s="2"/>
      <c r="G972" s="2" t="n">
        <v>0</v>
      </c>
      <c r="H972" s="2" t="n">
        <v>960</v>
      </c>
      <c r="I972" s="2" t="s">
        <v>26</v>
      </c>
      <c r="J972" s="2" t="n">
        <v>0</v>
      </c>
      <c r="K972" s="2" t="n">
        <v>0</v>
      </c>
      <c r="L972" s="2" t="n">
        <v>0</v>
      </c>
      <c r="M972" s="2" t="s">
        <v>489</v>
      </c>
      <c r="N972" s="3" t="n">
        <v>24</v>
      </c>
      <c r="O972" s="3" t="n">
        <v>0.729</v>
      </c>
      <c r="P972" s="3" t="n">
        <v>119.931</v>
      </c>
      <c r="Q972" s="3" t="s">
        <v>578</v>
      </c>
      <c r="R972" s="2"/>
      <c r="S972" s="2" t="s">
        <v>72</v>
      </c>
      <c r="T972" s="4" t="n">
        <f aca="false">DATE(VALUE(MID(C972,7,4)),VALUE(MID(C972,4,2)),VALUE(MID(C972,1,2)))+TIME(VALUE(MID(C972,12,2)),VALUE(MID(C972,15,2)),0)</f>
        <v>35065.3368055556</v>
      </c>
      <c r="U972" s="2" t="str">
        <f aca="false">IF(AND(ISNUMBER(VALUE(MID(A972,7,1))),ISNUMBER(SEARCH("km",A972)),ISNUMBER(SEARCH("of",A972))),"Distance-location","Named-region")</f>
        <v>Named-region</v>
      </c>
      <c r="V972" s="2" t="str">
        <f aca="false">LOWER(M972)</f>
        <v>mw</v>
      </c>
      <c r="W972" s="5" t="str">
        <f aca="false">IF(COUNTIFS($A$2:$A$1001,A972,$C$2:$C$1001,C972)&gt;1,"Duplicate","Unique")</f>
        <v>Unique</v>
      </c>
    </row>
    <row r="973" customFormat="false" ht="15" hidden="false" customHeight="false" outlineLevel="0" collapsed="false">
      <c r="A973" s="2" t="s">
        <v>2508</v>
      </c>
      <c r="B973" s="3" t="n">
        <v>7.1</v>
      </c>
      <c r="C973" s="2" t="s">
        <v>2509</v>
      </c>
      <c r="D973" s="2" t="n">
        <v>0</v>
      </c>
      <c r="E973" s="2" t="n">
        <v>6</v>
      </c>
      <c r="F973" s="2"/>
      <c r="G973" s="2" t="n">
        <v>0</v>
      </c>
      <c r="H973" s="2" t="n">
        <v>776</v>
      </c>
      <c r="I973" s="2" t="s">
        <v>26</v>
      </c>
      <c r="J973" s="2" t="n">
        <v>0</v>
      </c>
      <c r="K973" s="2" t="n">
        <v>0</v>
      </c>
      <c r="L973" s="2" t="n">
        <v>0</v>
      </c>
      <c r="M973" s="2" t="s">
        <v>489</v>
      </c>
      <c r="N973" s="3" t="n">
        <v>141.9</v>
      </c>
      <c r="O973" s="3" t="n">
        <v>-6.903</v>
      </c>
      <c r="P973" s="3" t="n">
        <v>129.151</v>
      </c>
      <c r="Q973" s="3" t="s">
        <v>252</v>
      </c>
      <c r="R973" s="2"/>
      <c r="S973" s="2" t="s">
        <v>72</v>
      </c>
      <c r="T973" s="4" t="n">
        <f aca="false">DATE(VALUE(MID(C973,7,4)),VALUE(MID(C973,4,2)),VALUE(MID(C973,1,2)))+TIME(VALUE(MID(C973,12,2)),VALUE(MID(C973,15,2)),0)</f>
        <v>35058.1965277778</v>
      </c>
      <c r="U973" s="2" t="str">
        <f aca="false">IF(AND(ISNUMBER(VALUE(MID(A973,7,1))),ISNUMBER(SEARCH("km",A973)),ISNUMBER(SEARCH("of",A973))),"Distance-location","Named-region")</f>
        <v>Named-region</v>
      </c>
      <c r="V973" s="2" t="str">
        <f aca="false">LOWER(M973)</f>
        <v>mw</v>
      </c>
      <c r="W973" s="5" t="str">
        <f aca="false">IF(COUNTIFS($A$2:$A$1001,A973,$C$2:$C$1001,C973)&gt;1,"Duplicate","Unique")</f>
        <v>Unique</v>
      </c>
    </row>
    <row r="974" customFormat="false" ht="15" hidden="false" customHeight="false" outlineLevel="0" collapsed="false">
      <c r="A974" s="2" t="s">
        <v>2510</v>
      </c>
      <c r="B974" s="3" t="n">
        <v>6.5</v>
      </c>
      <c r="C974" s="2" t="s">
        <v>2511</v>
      </c>
      <c r="D974" s="2" t="n">
        <v>0</v>
      </c>
      <c r="E974" s="2" t="n">
        <v>6</v>
      </c>
      <c r="F974" s="2"/>
      <c r="G974" s="2" t="n">
        <v>0</v>
      </c>
      <c r="H974" s="2" t="n">
        <v>650</v>
      </c>
      <c r="I974" s="2" t="s">
        <v>26</v>
      </c>
      <c r="J974" s="2" t="n">
        <v>0</v>
      </c>
      <c r="K974" s="2" t="n">
        <v>0</v>
      </c>
      <c r="L974" s="2" t="n">
        <v>0</v>
      </c>
      <c r="M974" s="2" t="s">
        <v>158</v>
      </c>
      <c r="N974" s="3" t="n">
        <v>63.4</v>
      </c>
      <c r="O974" s="3" t="n">
        <v>-3.703</v>
      </c>
      <c r="P974" s="3" t="n">
        <v>140.233</v>
      </c>
      <c r="Q974" s="3" t="s">
        <v>930</v>
      </c>
      <c r="R974" s="2"/>
      <c r="S974" s="2" t="s">
        <v>72</v>
      </c>
      <c r="T974" s="4" t="n">
        <f aca="false">DATE(VALUE(MID(C974,7,4)),VALUE(MID(C974,4,2)),VALUE(MID(C974,1,2)))+TIME(VALUE(MID(C974,12,2)),VALUE(MID(C974,15,2)),0)</f>
        <v>35052.9777777778</v>
      </c>
      <c r="U974" s="2" t="str">
        <f aca="false">IF(AND(ISNUMBER(VALUE(MID(A974,7,1))),ISNUMBER(SEARCH("km",A974)),ISNUMBER(SEARCH("of",A974))),"Distance-location","Named-region")</f>
        <v>Named-region</v>
      </c>
      <c r="V974" s="2" t="str">
        <f aca="false">LOWER(M974)</f>
        <v>mwb</v>
      </c>
      <c r="W974" s="5" t="str">
        <f aca="false">IF(COUNTIFS($A$2:$A$1001,A974,$C$2:$C$1001,C974)&gt;1,"Duplicate","Unique")</f>
        <v>Unique</v>
      </c>
    </row>
    <row r="975" customFormat="false" ht="15" hidden="false" customHeight="false" outlineLevel="0" collapsed="false">
      <c r="A975" s="2" t="s">
        <v>2512</v>
      </c>
      <c r="B975" s="3" t="n">
        <v>7.9</v>
      </c>
      <c r="C975" s="2" t="s">
        <v>2513</v>
      </c>
      <c r="D975" s="2" t="n">
        <v>0</v>
      </c>
      <c r="E975" s="2" t="n">
        <v>6</v>
      </c>
      <c r="F975" s="2"/>
      <c r="G975" s="2" t="n">
        <v>0</v>
      </c>
      <c r="H975" s="2" t="n">
        <v>960</v>
      </c>
      <c r="I975" s="2" t="s">
        <v>26</v>
      </c>
      <c r="J975" s="2" t="n">
        <v>0</v>
      </c>
      <c r="K975" s="2" t="n">
        <v>0</v>
      </c>
      <c r="L975" s="2" t="n">
        <v>0</v>
      </c>
      <c r="M975" s="2" t="s">
        <v>489</v>
      </c>
      <c r="N975" s="3" t="n">
        <v>33</v>
      </c>
      <c r="O975" s="3" t="n">
        <v>44.663</v>
      </c>
      <c r="P975" s="3" t="n">
        <v>149.3</v>
      </c>
      <c r="Q975" s="3" t="s">
        <v>431</v>
      </c>
      <c r="R975" s="2"/>
      <c r="S975" s="2"/>
      <c r="T975" s="4" t="n">
        <f aca="false">DATE(VALUE(MID(C975,7,4)),VALUE(MID(C975,4,2)),VALUE(MID(C975,1,2)))+TIME(VALUE(MID(C975,12,2)),VALUE(MID(C975,15,2)),0)</f>
        <v>35036.7506944445</v>
      </c>
      <c r="U975" s="2" t="str">
        <f aca="false">IF(AND(ISNUMBER(VALUE(MID(A975,7,1))),ISNUMBER(SEARCH("km",A975)),ISNUMBER(SEARCH("of",A975))),"Distance-location","Named-region")</f>
        <v>Named-region</v>
      </c>
      <c r="V975" s="2" t="str">
        <f aca="false">LOWER(M975)</f>
        <v>mw</v>
      </c>
      <c r="W975" s="5" t="str">
        <f aca="false">IF(COUNTIFS($A$2:$A$1001,A975,$C$2:$C$1001,C975)&gt;1,"Duplicate","Unique")</f>
        <v>Unique</v>
      </c>
    </row>
    <row r="976" customFormat="false" ht="15" hidden="false" customHeight="false" outlineLevel="0" collapsed="false">
      <c r="A976" s="2" t="s">
        <v>2514</v>
      </c>
      <c r="B976" s="3" t="n">
        <v>7.2</v>
      </c>
      <c r="C976" s="2" t="s">
        <v>2515</v>
      </c>
      <c r="D976" s="2" t="n">
        <v>0</v>
      </c>
      <c r="E976" s="2" t="n">
        <v>9</v>
      </c>
      <c r="F976" s="2"/>
      <c r="G976" s="2" t="n">
        <v>0</v>
      </c>
      <c r="H976" s="2" t="n">
        <v>798</v>
      </c>
      <c r="I976" s="2" t="s">
        <v>26</v>
      </c>
      <c r="J976" s="2" t="n">
        <v>0</v>
      </c>
      <c r="K976" s="2" t="n">
        <v>0</v>
      </c>
      <c r="L976" s="2" t="n">
        <v>0</v>
      </c>
      <c r="M976" s="2" t="s">
        <v>489</v>
      </c>
      <c r="N976" s="3" t="n">
        <v>10</v>
      </c>
      <c r="O976" s="3" t="n">
        <v>28.826</v>
      </c>
      <c r="P976" s="3" t="n">
        <v>34.799</v>
      </c>
      <c r="Q976" s="3" t="s">
        <v>2516</v>
      </c>
      <c r="R976" s="2" t="s">
        <v>84</v>
      </c>
      <c r="S976" s="2" t="s">
        <v>2517</v>
      </c>
      <c r="T976" s="4" t="n">
        <f aca="false">DATE(VALUE(MID(C976,7,4)),VALUE(MID(C976,4,2)),VALUE(MID(C976,1,2)))+TIME(VALUE(MID(C976,12,2)),VALUE(MID(C976,15,2)),0)</f>
        <v>35025.1770833333</v>
      </c>
      <c r="U976" s="2" t="str">
        <f aca="false">IF(AND(ISNUMBER(VALUE(MID(A976,7,1))),ISNUMBER(SEARCH("km",A976)),ISNUMBER(SEARCH("of",A976))),"Distance-location","Named-region")</f>
        <v>Named-region</v>
      </c>
      <c r="V976" s="2" t="str">
        <f aca="false">LOWER(M976)</f>
        <v>mw</v>
      </c>
      <c r="W976" s="5" t="str">
        <f aca="false">IF(COUNTIFS($A$2:$A$1001,A976,$C$2:$C$1001,C976)&gt;1,"Duplicate","Unique")</f>
        <v>Unique</v>
      </c>
    </row>
    <row r="977" customFormat="false" ht="15" hidden="false" customHeight="false" outlineLevel="0" collapsed="false">
      <c r="A977" s="2" t="s">
        <v>2518</v>
      </c>
      <c r="B977" s="3" t="n">
        <v>6.7</v>
      </c>
      <c r="C977" s="2" t="s">
        <v>2519</v>
      </c>
      <c r="D977" s="2" t="n">
        <v>0</v>
      </c>
      <c r="E977" s="2" t="n">
        <v>7</v>
      </c>
      <c r="F977" s="2"/>
      <c r="G977" s="2" t="n">
        <v>0</v>
      </c>
      <c r="H977" s="2" t="n">
        <v>691</v>
      </c>
      <c r="I977" s="2" t="s">
        <v>26</v>
      </c>
      <c r="J977" s="2" t="n">
        <v>0</v>
      </c>
      <c r="K977" s="2" t="n">
        <v>0</v>
      </c>
      <c r="L977" s="2" t="n">
        <v>0</v>
      </c>
      <c r="M977" s="2" t="s">
        <v>489</v>
      </c>
      <c r="N977" s="3" t="n">
        <v>19.9</v>
      </c>
      <c r="O977" s="3" t="n">
        <v>-28.906</v>
      </c>
      <c r="P977" s="3" t="n">
        <v>-71.417</v>
      </c>
      <c r="Q977" s="3" t="s">
        <v>374</v>
      </c>
      <c r="R977" s="2"/>
      <c r="S977" s="2" t="s">
        <v>377</v>
      </c>
      <c r="T977" s="4" t="n">
        <f aca="false">DATE(VALUE(MID(C977,7,4)),VALUE(MID(C977,4,2)),VALUE(MID(C977,1,2)))+TIME(VALUE(MID(C977,12,2)),VALUE(MID(C977,15,2)),0)</f>
        <v>35004.0243055556</v>
      </c>
      <c r="U977" s="2" t="str">
        <f aca="false">IF(AND(ISNUMBER(VALUE(MID(A977,7,1))),ISNUMBER(SEARCH("km",A977)),ISNUMBER(SEARCH("of",A977))),"Distance-location","Named-region")</f>
        <v>Named-region</v>
      </c>
      <c r="V977" s="2" t="str">
        <f aca="false">LOWER(M977)</f>
        <v>mw</v>
      </c>
      <c r="W977" s="5" t="str">
        <f aca="false">IF(COUNTIFS($A$2:$A$1001,A977,$C$2:$C$1001,C977)&gt;1,"Duplicate","Unique")</f>
        <v>Unique</v>
      </c>
    </row>
    <row r="978" customFormat="false" ht="28.35" hidden="false" customHeight="false" outlineLevel="0" collapsed="false">
      <c r="A978" s="2" t="s">
        <v>2520</v>
      </c>
      <c r="B978" s="3" t="n">
        <v>7.2</v>
      </c>
      <c r="C978" s="2" t="s">
        <v>2521</v>
      </c>
      <c r="D978" s="2" t="n">
        <v>0</v>
      </c>
      <c r="E978" s="2" t="n">
        <v>6</v>
      </c>
      <c r="F978" s="2"/>
      <c r="G978" s="2" t="n">
        <v>0</v>
      </c>
      <c r="H978" s="2" t="n">
        <v>798</v>
      </c>
      <c r="I978" s="2" t="s">
        <v>26</v>
      </c>
      <c r="J978" s="2" t="n">
        <v>0</v>
      </c>
      <c r="K978" s="2" t="n">
        <v>0</v>
      </c>
      <c r="L978" s="2" t="n">
        <v>0</v>
      </c>
      <c r="M978" s="2" t="s">
        <v>489</v>
      </c>
      <c r="N978" s="3" t="n">
        <v>159.3</v>
      </c>
      <c r="O978" s="3" t="n">
        <v>16.84</v>
      </c>
      <c r="P978" s="3" t="n">
        <v>-93.469</v>
      </c>
      <c r="Q978" s="3" t="s">
        <v>2522</v>
      </c>
      <c r="R978" s="2"/>
      <c r="S978" s="2" t="s">
        <v>169</v>
      </c>
      <c r="T978" s="4" t="n">
        <f aca="false">DATE(VALUE(MID(C978,7,4)),VALUE(MID(C978,4,2)),VALUE(MID(C978,1,2)))+TIME(VALUE(MID(C978,12,2)),VALUE(MID(C978,15,2)),0)</f>
        <v>34993.1097222222</v>
      </c>
      <c r="U978" s="2" t="str">
        <f aca="false">IF(AND(ISNUMBER(VALUE(MID(A978,7,1))),ISNUMBER(SEARCH("km",A978)),ISNUMBER(SEARCH("of",A978))),"Distance-location","Named-region")</f>
        <v>Named-region</v>
      </c>
      <c r="V978" s="2" t="str">
        <f aca="false">LOWER(M978)</f>
        <v>mw</v>
      </c>
      <c r="W978" s="5" t="str">
        <f aca="false">IF(COUNTIFS($A$2:$A$1001,A978,$C$2:$C$1001,C978)&gt;1,"Duplicate","Unique")</f>
        <v>Unique</v>
      </c>
    </row>
    <row r="979" customFormat="false" ht="15" hidden="false" customHeight="false" outlineLevel="0" collapsed="false">
      <c r="A979" s="2" t="s">
        <v>2523</v>
      </c>
      <c r="B979" s="3" t="n">
        <v>6.8</v>
      </c>
      <c r="C979" s="2" t="s">
        <v>2524</v>
      </c>
      <c r="D979" s="2" t="n">
        <v>0</v>
      </c>
      <c r="E979" s="2" t="n">
        <v>6</v>
      </c>
      <c r="F979" s="2"/>
      <c r="G979" s="2" t="n">
        <v>0</v>
      </c>
      <c r="H979" s="2" t="n">
        <v>711</v>
      </c>
      <c r="I979" s="2" t="s">
        <v>26</v>
      </c>
      <c r="J979" s="2" t="n">
        <v>0</v>
      </c>
      <c r="K979" s="2" t="n">
        <v>0</v>
      </c>
      <c r="L979" s="2" t="n">
        <v>0</v>
      </c>
      <c r="M979" s="2" t="s">
        <v>489</v>
      </c>
      <c r="N979" s="3" t="n">
        <v>19.7</v>
      </c>
      <c r="O979" s="3" t="n">
        <v>28.094</v>
      </c>
      <c r="P979" s="3" t="n">
        <v>130.148</v>
      </c>
      <c r="Q979" s="3" t="s">
        <v>405</v>
      </c>
      <c r="R979" s="2"/>
      <c r="S979" s="2"/>
      <c r="T979" s="4" t="n">
        <f aca="false">DATE(VALUE(MID(C979,7,4)),VALUE(MID(C979,4,2)),VALUE(MID(C979,1,2)))+TIME(VALUE(MID(C979,12,2)),VALUE(MID(C979,15,2)),0)</f>
        <v>34991.1118055556</v>
      </c>
      <c r="U979" s="2" t="str">
        <f aca="false">IF(AND(ISNUMBER(VALUE(MID(A979,7,1))),ISNUMBER(SEARCH("km",A979)),ISNUMBER(SEARCH("of",A979))),"Distance-location","Named-region")</f>
        <v>Named-region</v>
      </c>
      <c r="V979" s="2" t="str">
        <f aca="false">LOWER(M979)</f>
        <v>mw</v>
      </c>
      <c r="W979" s="5" t="str">
        <f aca="false">IF(COUNTIFS($A$2:$A$1001,A979,$C$2:$C$1001,C979)&gt;1,"Duplicate","Unique")</f>
        <v>Unique</v>
      </c>
    </row>
    <row r="980" customFormat="false" ht="15" hidden="false" customHeight="false" outlineLevel="0" collapsed="false">
      <c r="A980" s="2" t="s">
        <v>2525</v>
      </c>
      <c r="B980" s="3" t="n">
        <v>7.1</v>
      </c>
      <c r="C980" s="2" t="s">
        <v>2526</v>
      </c>
      <c r="D980" s="2" t="n">
        <v>0</v>
      </c>
      <c r="E980" s="2" t="n">
        <v>6</v>
      </c>
      <c r="F980" s="2"/>
      <c r="G980" s="2" t="n">
        <v>0</v>
      </c>
      <c r="H980" s="2" t="n">
        <v>776</v>
      </c>
      <c r="I980" s="2" t="s">
        <v>26</v>
      </c>
      <c r="J980" s="2" t="n">
        <v>0</v>
      </c>
      <c r="K980" s="2" t="n">
        <v>0</v>
      </c>
      <c r="L980" s="2" t="n">
        <v>0</v>
      </c>
      <c r="M980" s="2" t="s">
        <v>489</v>
      </c>
      <c r="N980" s="3" t="n">
        <v>28.4</v>
      </c>
      <c r="O980" s="3" t="n">
        <v>27.929</v>
      </c>
      <c r="P980" s="3" t="n">
        <v>130.175</v>
      </c>
      <c r="Q980" s="3" t="s">
        <v>405</v>
      </c>
      <c r="R980" s="2"/>
      <c r="S980" s="2"/>
      <c r="T980" s="4" t="n">
        <f aca="false">DATE(VALUE(MID(C980,7,4)),VALUE(MID(C980,4,2)),VALUE(MID(C980,1,2)))+TIME(VALUE(MID(C980,12,2)),VALUE(MID(C980,15,2)),0)</f>
        <v>34990.4423611111</v>
      </c>
      <c r="U980" s="2" t="str">
        <f aca="false">IF(AND(ISNUMBER(VALUE(MID(A980,7,1))),ISNUMBER(SEARCH("km",A980)),ISNUMBER(SEARCH("of",A980))),"Distance-location","Named-region")</f>
        <v>Named-region</v>
      </c>
      <c r="V980" s="2" t="str">
        <f aca="false">LOWER(M980)</f>
        <v>mw</v>
      </c>
      <c r="W980" s="5" t="str">
        <f aca="false">IF(COUNTIFS($A$2:$A$1001,A980,$C$2:$C$1001,C980)&gt;1,"Duplicate","Unique")</f>
        <v>Unique</v>
      </c>
    </row>
    <row r="981" customFormat="false" ht="15" hidden="false" customHeight="false" outlineLevel="0" collapsed="false">
      <c r="A981" s="2" t="s">
        <v>2527</v>
      </c>
      <c r="B981" s="3" t="n">
        <v>8</v>
      </c>
      <c r="C981" s="2" t="s">
        <v>2528</v>
      </c>
      <c r="D981" s="2" t="n">
        <v>0</v>
      </c>
      <c r="E981" s="2" t="n">
        <v>8</v>
      </c>
      <c r="F981" s="2"/>
      <c r="G981" s="2" t="n">
        <v>0</v>
      </c>
      <c r="H981" s="2" t="n">
        <v>985</v>
      </c>
      <c r="I981" s="2" t="s">
        <v>26</v>
      </c>
      <c r="J981" s="2" t="n">
        <v>0</v>
      </c>
      <c r="K981" s="2" t="n">
        <v>0</v>
      </c>
      <c r="L981" s="2" t="n">
        <v>0</v>
      </c>
      <c r="M981" s="2" t="s">
        <v>489</v>
      </c>
      <c r="N981" s="3" t="n">
        <v>33</v>
      </c>
      <c r="O981" s="3" t="n">
        <v>19.055</v>
      </c>
      <c r="P981" s="3" t="n">
        <v>-104.205</v>
      </c>
      <c r="Q981" s="3" t="s">
        <v>2529</v>
      </c>
      <c r="R981" s="2" t="s">
        <v>168</v>
      </c>
      <c r="S981" s="2" t="s">
        <v>169</v>
      </c>
      <c r="T981" s="4" t="n">
        <f aca="false">DATE(VALUE(MID(C981,7,4)),VALUE(MID(C981,4,2)),VALUE(MID(C981,1,2)))+TIME(VALUE(MID(C981,12,2)),VALUE(MID(C981,15,2)),0)</f>
        <v>34981.6493055556</v>
      </c>
      <c r="U981" s="2" t="str">
        <f aca="false">IF(AND(ISNUMBER(VALUE(MID(A981,7,1))),ISNUMBER(SEARCH("km",A981)),ISNUMBER(SEARCH("of",A981))),"Distance-location","Named-region")</f>
        <v>Named-region</v>
      </c>
      <c r="V981" s="2" t="str">
        <f aca="false">LOWER(M981)</f>
        <v>mw</v>
      </c>
      <c r="W981" s="5" t="str">
        <f aca="false">IF(COUNTIFS($A$2:$A$1001,A981,$C$2:$C$1001,C981)&gt;1,"Duplicate","Unique")</f>
        <v>Unique</v>
      </c>
    </row>
    <row r="982" customFormat="false" ht="15" hidden="false" customHeight="false" outlineLevel="0" collapsed="false">
      <c r="A982" s="2" t="s">
        <v>2530</v>
      </c>
      <c r="B982" s="3" t="n">
        <v>6.8</v>
      </c>
      <c r="C982" s="2" t="s">
        <v>2531</v>
      </c>
      <c r="D982" s="2" t="n">
        <v>0</v>
      </c>
      <c r="E982" s="2" t="n">
        <v>7</v>
      </c>
      <c r="F982" s="2"/>
      <c r="G982" s="2" t="n">
        <v>0</v>
      </c>
      <c r="H982" s="2" t="n">
        <v>711</v>
      </c>
      <c r="I982" s="2" t="s">
        <v>26</v>
      </c>
      <c r="J982" s="2" t="n">
        <v>0</v>
      </c>
      <c r="K982" s="2" t="n">
        <v>0</v>
      </c>
      <c r="L982" s="2" t="n">
        <v>0</v>
      </c>
      <c r="M982" s="2" t="s">
        <v>489</v>
      </c>
      <c r="N982" s="3" t="n">
        <v>33</v>
      </c>
      <c r="O982" s="3" t="n">
        <v>-2.045</v>
      </c>
      <c r="P982" s="3" t="n">
        <v>101.436</v>
      </c>
      <c r="Q982" s="3" t="s">
        <v>813</v>
      </c>
      <c r="R982" s="2"/>
      <c r="S982" s="2" t="s">
        <v>72</v>
      </c>
      <c r="T982" s="4" t="n">
        <f aca="false">DATE(VALUE(MID(C982,7,4)),VALUE(MID(C982,4,2)),VALUE(MID(C982,1,2)))+TIME(VALUE(MID(C982,12,2)),VALUE(MID(C982,15,2)),0)</f>
        <v>34978.75625</v>
      </c>
      <c r="U982" s="2" t="str">
        <f aca="false">IF(AND(ISNUMBER(VALUE(MID(A982,7,1))),ISNUMBER(SEARCH("km",A982)),ISNUMBER(SEARCH("of",A982))),"Distance-location","Named-region")</f>
        <v>Named-region</v>
      </c>
      <c r="V982" s="2" t="str">
        <f aca="false">LOWER(M982)</f>
        <v>mw</v>
      </c>
      <c r="W982" s="5" t="str">
        <f aca="false">IF(COUNTIFS($A$2:$A$1001,A982,$C$2:$C$1001,C982)&gt;1,"Duplicate","Unique")</f>
        <v>Unique</v>
      </c>
    </row>
    <row r="983" customFormat="false" ht="15" hidden="false" customHeight="false" outlineLevel="0" collapsed="false">
      <c r="A983" s="2" t="s">
        <v>2532</v>
      </c>
      <c r="B983" s="3" t="n">
        <v>6.5</v>
      </c>
      <c r="C983" s="2" t="s">
        <v>2533</v>
      </c>
      <c r="D983" s="2" t="n">
        <v>0</v>
      </c>
      <c r="E983" s="2" t="n">
        <v>7</v>
      </c>
      <c r="F983" s="2"/>
      <c r="G983" s="2" t="n">
        <v>0</v>
      </c>
      <c r="H983" s="2" t="n">
        <v>650</v>
      </c>
      <c r="I983" s="2" t="s">
        <v>26</v>
      </c>
      <c r="J983" s="2" t="n">
        <v>0</v>
      </c>
      <c r="K983" s="2" t="n">
        <v>0</v>
      </c>
      <c r="L983" s="2" t="n">
        <v>0</v>
      </c>
      <c r="M983" s="2" t="s">
        <v>489</v>
      </c>
      <c r="N983" s="3" t="n">
        <v>16.7</v>
      </c>
      <c r="O983" s="3" t="n">
        <v>-2.778</v>
      </c>
      <c r="P983" s="3" t="n">
        <v>-77.851</v>
      </c>
      <c r="Q983" s="3" t="s">
        <v>2534</v>
      </c>
      <c r="R983" s="2" t="s">
        <v>37</v>
      </c>
      <c r="S983" s="2" t="s">
        <v>100</v>
      </c>
      <c r="T983" s="4" t="n">
        <f aca="false">DATE(VALUE(MID(C983,7,4)),VALUE(MID(C983,4,2)),VALUE(MID(C983,1,2)))+TIME(VALUE(MID(C983,12,2)),VALUE(MID(C983,15,2)),0)</f>
        <v>34975.5305555556</v>
      </c>
      <c r="U983" s="2" t="str">
        <f aca="false">IF(AND(ISNUMBER(VALUE(MID(A983,7,1))),ISNUMBER(SEARCH("km",A983)),ISNUMBER(SEARCH("of",A983))),"Distance-location","Named-region")</f>
        <v>Named-region</v>
      </c>
      <c r="V983" s="2" t="str">
        <f aca="false">LOWER(M983)</f>
        <v>mw</v>
      </c>
      <c r="W983" s="5" t="str">
        <f aca="false">IF(COUNTIFS($A$2:$A$1001,A983,$C$2:$C$1001,C983)&gt;1,"Duplicate","Unique")</f>
        <v>Unique</v>
      </c>
    </row>
    <row r="984" customFormat="false" ht="15" hidden="false" customHeight="false" outlineLevel="0" collapsed="false">
      <c r="A984" s="2" t="s">
        <v>2535</v>
      </c>
      <c r="B984" s="3" t="n">
        <v>7</v>
      </c>
      <c r="C984" s="2" t="s">
        <v>2536</v>
      </c>
      <c r="D984" s="2" t="n">
        <v>0</v>
      </c>
      <c r="E984" s="2" t="n">
        <v>7</v>
      </c>
      <c r="F984" s="2"/>
      <c r="G984" s="2" t="n">
        <v>0</v>
      </c>
      <c r="H984" s="2" t="n">
        <v>754</v>
      </c>
      <c r="I984" s="2" t="s">
        <v>26</v>
      </c>
      <c r="J984" s="2" t="n">
        <v>0</v>
      </c>
      <c r="K984" s="2" t="n">
        <v>0</v>
      </c>
      <c r="L984" s="2" t="n">
        <v>0</v>
      </c>
      <c r="M984" s="2" t="s">
        <v>489</v>
      </c>
      <c r="N984" s="3" t="n">
        <v>24.4</v>
      </c>
      <c r="O984" s="3" t="n">
        <v>-2.75</v>
      </c>
      <c r="P984" s="3" t="n">
        <v>-77.881</v>
      </c>
      <c r="Q984" s="3" t="s">
        <v>2534</v>
      </c>
      <c r="R984" s="2" t="s">
        <v>37</v>
      </c>
      <c r="S984" s="2" t="s">
        <v>100</v>
      </c>
      <c r="T984" s="4" t="n">
        <f aca="false">DATE(VALUE(MID(C984,7,4)),VALUE(MID(C984,4,2)),VALUE(MID(C984,1,2)))+TIME(VALUE(MID(C984,12,2)),VALUE(MID(C984,15,2)),0)</f>
        <v>34975.0770833333</v>
      </c>
      <c r="U984" s="2" t="str">
        <f aca="false">IF(AND(ISNUMBER(VALUE(MID(A984,7,1))),ISNUMBER(SEARCH("km",A984)),ISNUMBER(SEARCH("of",A984))),"Distance-location","Named-region")</f>
        <v>Named-region</v>
      </c>
      <c r="V984" s="2" t="str">
        <f aca="false">LOWER(M984)</f>
        <v>mw</v>
      </c>
      <c r="W984" s="5" t="str">
        <f aca="false">IF(COUNTIFS($A$2:$A$1001,A984,$C$2:$C$1001,C984)&gt;1,"Duplicate","Unique")</f>
        <v>Unique</v>
      </c>
    </row>
    <row r="985" customFormat="false" ht="15" hidden="false" customHeight="false" outlineLevel="0" collapsed="false">
      <c r="A985" s="2" t="s">
        <v>2537</v>
      </c>
      <c r="B985" s="3" t="n">
        <v>6.5</v>
      </c>
      <c r="C985" s="2" t="s">
        <v>2538</v>
      </c>
      <c r="D985" s="2" t="n">
        <v>0</v>
      </c>
      <c r="E985" s="2" t="n">
        <v>5</v>
      </c>
      <c r="F985" s="2"/>
      <c r="G985" s="2" t="n">
        <v>0</v>
      </c>
      <c r="H985" s="2" t="n">
        <v>650</v>
      </c>
      <c r="I985" s="2" t="s">
        <v>26</v>
      </c>
      <c r="J985" s="2" t="n">
        <v>0</v>
      </c>
      <c r="K985" s="2" t="n">
        <v>0</v>
      </c>
      <c r="L985" s="2" t="n">
        <v>0</v>
      </c>
      <c r="M985" s="2" t="s">
        <v>158</v>
      </c>
      <c r="N985" s="3" t="n">
        <v>59.9</v>
      </c>
      <c r="O985" s="3" t="n">
        <v>-10.68</v>
      </c>
      <c r="P985" s="3" t="n">
        <v>-78.581</v>
      </c>
      <c r="Q985" s="3" t="s">
        <v>2539</v>
      </c>
      <c r="R985" s="2"/>
      <c r="S985" s="2" t="s">
        <v>203</v>
      </c>
      <c r="T985" s="4" t="n">
        <f aca="false">DATE(VALUE(MID(C985,7,4)),VALUE(MID(C985,4,2)),VALUE(MID(C985,1,2)))+TIME(VALUE(MID(C985,12,2)),VALUE(MID(C985,15,2)),0)</f>
        <v>34965.9381944445</v>
      </c>
      <c r="U985" s="2" t="str">
        <f aca="false">IF(AND(ISNUMBER(VALUE(MID(A985,7,1))),ISNUMBER(SEARCH("km",A985)),ISNUMBER(SEARCH("of",A985))),"Distance-location","Named-region")</f>
        <v>Named-region</v>
      </c>
      <c r="V985" s="2" t="str">
        <f aca="false">LOWER(M985)</f>
        <v>mwb</v>
      </c>
      <c r="W985" s="5" t="str">
        <f aca="false">IF(COUNTIFS($A$2:$A$1001,A985,$C$2:$C$1001,C985)&gt;1,"Duplicate","Unique")</f>
        <v>Unique</v>
      </c>
    </row>
    <row r="986" customFormat="false" ht="15" hidden="false" customHeight="false" outlineLevel="0" collapsed="false">
      <c r="A986" s="2" t="s">
        <v>2540</v>
      </c>
      <c r="B986" s="3" t="n">
        <v>7.4</v>
      </c>
      <c r="C986" s="2" t="s">
        <v>2541</v>
      </c>
      <c r="D986" s="2" t="n">
        <v>0</v>
      </c>
      <c r="E986" s="2" t="n">
        <v>7</v>
      </c>
      <c r="F986" s="2"/>
      <c r="G986" s="2" t="n">
        <v>0</v>
      </c>
      <c r="H986" s="2" t="n">
        <v>842</v>
      </c>
      <c r="I986" s="2" t="s">
        <v>26</v>
      </c>
      <c r="J986" s="2" t="n">
        <v>0</v>
      </c>
      <c r="K986" s="2" t="n">
        <v>0</v>
      </c>
      <c r="L986" s="2" t="n">
        <v>0</v>
      </c>
      <c r="M986" s="2" t="s">
        <v>158</v>
      </c>
      <c r="N986" s="3" t="n">
        <v>23</v>
      </c>
      <c r="O986" s="3" t="n">
        <v>16.779</v>
      </c>
      <c r="P986" s="3" t="n">
        <v>-98.597</v>
      </c>
      <c r="Q986" s="3" t="s">
        <v>2542</v>
      </c>
      <c r="R986" s="2" t="s">
        <v>168</v>
      </c>
      <c r="S986" s="2" t="s">
        <v>169</v>
      </c>
      <c r="T986" s="4" t="n">
        <f aca="false">DATE(VALUE(MID(C986,7,4)),VALUE(MID(C986,4,2)),VALUE(MID(C986,1,2)))+TIME(VALUE(MID(C986,12,2)),VALUE(MID(C986,15,2)),0)</f>
        <v>34956.5861111111</v>
      </c>
      <c r="U986" s="2" t="str">
        <f aca="false">IF(AND(ISNUMBER(VALUE(MID(A986,7,1))),ISNUMBER(SEARCH("km",A986)),ISNUMBER(SEARCH("of",A986))),"Distance-location","Named-region")</f>
        <v>Named-region</v>
      </c>
      <c r="V986" s="2" t="str">
        <f aca="false">LOWER(M986)</f>
        <v>mwb</v>
      </c>
      <c r="W986" s="5" t="str">
        <f aca="false">IF(COUNTIFS($A$2:$A$1001,A986,$C$2:$C$1001,C986)&gt;1,"Duplicate","Unique")</f>
        <v>Unique</v>
      </c>
    </row>
    <row r="987" customFormat="false" ht="15" hidden="false" customHeight="false" outlineLevel="0" collapsed="false">
      <c r="A987" s="2" t="s">
        <v>2543</v>
      </c>
      <c r="B987" s="3" t="n">
        <v>6.6</v>
      </c>
      <c r="C987" s="2" t="s">
        <v>2544</v>
      </c>
      <c r="D987" s="2" t="n">
        <v>0</v>
      </c>
      <c r="E987" s="2" t="n">
        <v>5</v>
      </c>
      <c r="F987" s="2"/>
      <c r="G987" s="2" t="n">
        <v>0</v>
      </c>
      <c r="H987" s="2" t="n">
        <v>670</v>
      </c>
      <c r="I987" s="2" t="s">
        <v>26</v>
      </c>
      <c r="J987" s="2" t="n">
        <v>0</v>
      </c>
      <c r="K987" s="2" t="n">
        <v>0</v>
      </c>
      <c r="L987" s="2" t="n">
        <v>0</v>
      </c>
      <c r="M987" s="2" t="s">
        <v>158</v>
      </c>
      <c r="N987" s="3" t="n">
        <v>12.2</v>
      </c>
      <c r="O987" s="3" t="n">
        <v>26.092</v>
      </c>
      <c r="P987" s="3" t="n">
        <v>-110.284</v>
      </c>
      <c r="Q987" s="3" t="s">
        <v>1122</v>
      </c>
      <c r="R987" s="2"/>
      <c r="S987" s="2"/>
      <c r="T987" s="4" t="n">
        <f aca="false">DATE(VALUE(MID(C987,7,4)),VALUE(MID(C987,4,2)),VALUE(MID(C987,1,2)))+TIME(VALUE(MID(C987,12,2)),VALUE(MID(C987,15,2)),0)</f>
        <v>34939.4486111111</v>
      </c>
      <c r="U987" s="2" t="str">
        <f aca="false">IF(AND(ISNUMBER(VALUE(MID(A987,7,1))),ISNUMBER(SEARCH("km",A987)),ISNUMBER(SEARCH("of",A987))),"Distance-location","Named-region")</f>
        <v>Named-region</v>
      </c>
      <c r="V987" s="2" t="str">
        <f aca="false">LOWER(M987)</f>
        <v>mwb</v>
      </c>
      <c r="W987" s="5" t="str">
        <f aca="false">IF(COUNTIFS($A$2:$A$1001,A987,$C$2:$C$1001,C987)&gt;1,"Duplicate","Unique")</f>
        <v>Unique</v>
      </c>
    </row>
    <row r="988" customFormat="false" ht="15" hidden="false" customHeight="false" outlineLevel="0" collapsed="false">
      <c r="A988" s="2" t="s">
        <v>2545</v>
      </c>
      <c r="B988" s="3" t="n">
        <v>6.6</v>
      </c>
      <c r="C988" s="2" t="s">
        <v>2546</v>
      </c>
      <c r="D988" s="2" t="n">
        <v>0</v>
      </c>
      <c r="E988" s="2" t="n">
        <v>6</v>
      </c>
      <c r="F988" s="2"/>
      <c r="G988" s="2" t="n">
        <v>0</v>
      </c>
      <c r="H988" s="2" t="n">
        <v>670</v>
      </c>
      <c r="I988" s="2" t="s">
        <v>26</v>
      </c>
      <c r="J988" s="2" t="n">
        <v>0</v>
      </c>
      <c r="K988" s="2" t="n">
        <v>0</v>
      </c>
      <c r="L988" s="2" t="n">
        <v>0</v>
      </c>
      <c r="M988" s="2" t="s">
        <v>489</v>
      </c>
      <c r="N988" s="3" t="n">
        <v>119.6</v>
      </c>
      <c r="O988" s="3" t="n">
        <v>5.139</v>
      </c>
      <c r="P988" s="3" t="n">
        <v>-75.577</v>
      </c>
      <c r="Q988" s="3" t="s">
        <v>2547</v>
      </c>
      <c r="R988" s="2" t="s">
        <v>37</v>
      </c>
      <c r="S988" s="2" t="s">
        <v>58</v>
      </c>
      <c r="T988" s="4" t="n">
        <f aca="false">DATE(VALUE(MID(C988,7,4)),VALUE(MID(C988,4,2)),VALUE(MID(C988,1,2)))+TIME(VALUE(MID(C988,12,2)),VALUE(MID(C988,15,2)),0)</f>
        <v>34930.9048611111</v>
      </c>
      <c r="U988" s="2" t="str">
        <f aca="false">IF(AND(ISNUMBER(VALUE(MID(A988,7,1))),ISNUMBER(SEARCH("km",A988)),ISNUMBER(SEARCH("of",A988))),"Distance-location","Named-region")</f>
        <v>Named-region</v>
      </c>
      <c r="V988" s="2" t="str">
        <f aca="false">LOWER(M988)</f>
        <v>mw</v>
      </c>
      <c r="W988" s="5" t="str">
        <f aca="false">IF(COUNTIFS($A$2:$A$1001,A988,$C$2:$C$1001,C988)&gt;1,"Duplicate","Unique")</f>
        <v>Unique</v>
      </c>
    </row>
    <row r="989" customFormat="false" ht="15" hidden="false" customHeight="false" outlineLevel="0" collapsed="false">
      <c r="A989" s="2" t="s">
        <v>2548</v>
      </c>
      <c r="B989" s="3" t="n">
        <v>7.2</v>
      </c>
      <c r="C989" s="2" t="s">
        <v>2549</v>
      </c>
      <c r="D989" s="2" t="n">
        <v>0</v>
      </c>
      <c r="E989" s="2" t="n">
        <v>6</v>
      </c>
      <c r="F989" s="2"/>
      <c r="G989" s="2" t="n">
        <v>0</v>
      </c>
      <c r="H989" s="2" t="n">
        <v>798</v>
      </c>
      <c r="I989" s="2" t="s">
        <v>26</v>
      </c>
      <c r="J989" s="2" t="n">
        <v>0</v>
      </c>
      <c r="K989" s="2" t="n">
        <v>0</v>
      </c>
      <c r="L989" s="2" t="n">
        <v>0</v>
      </c>
      <c r="M989" s="2" t="s">
        <v>489</v>
      </c>
      <c r="N989" s="3" t="n">
        <v>33</v>
      </c>
      <c r="O989" s="3" t="n">
        <v>-5.771</v>
      </c>
      <c r="P989" s="3" t="n">
        <v>154.347</v>
      </c>
      <c r="Q989" s="3" t="s">
        <v>740</v>
      </c>
      <c r="R989" s="2"/>
      <c r="S989" s="2"/>
      <c r="T989" s="4" t="n">
        <f aca="false">DATE(VALUE(MID(C989,7,4)),VALUE(MID(C989,4,2)),VALUE(MID(C989,1,2)))+TIME(VALUE(MID(C989,12,2)),VALUE(MID(C989,15,2)),0)</f>
        <v>34927.9652777778</v>
      </c>
      <c r="U989" s="2" t="str">
        <f aca="false">IF(AND(ISNUMBER(VALUE(MID(A989,7,1))),ISNUMBER(SEARCH("km",A989)),ISNUMBER(SEARCH("of",A989))),"Distance-location","Named-region")</f>
        <v>Named-region</v>
      </c>
      <c r="V989" s="2" t="str">
        <f aca="false">LOWER(M989)</f>
        <v>mw</v>
      </c>
      <c r="W989" s="5" t="str">
        <f aca="false">IF(COUNTIFS($A$2:$A$1001,A989,$C$2:$C$1001,C989)&gt;1,"Duplicate","Unique")</f>
        <v>Unique</v>
      </c>
    </row>
    <row r="990" customFormat="false" ht="15" hidden="false" customHeight="false" outlineLevel="0" collapsed="false">
      <c r="A990" s="2" t="s">
        <v>2550</v>
      </c>
      <c r="B990" s="3" t="n">
        <v>6.6</v>
      </c>
      <c r="C990" s="2" t="s">
        <v>2551</v>
      </c>
      <c r="D990" s="2" t="n">
        <v>0</v>
      </c>
      <c r="E990" s="2" t="n">
        <v>4</v>
      </c>
      <c r="F990" s="2"/>
      <c r="G990" s="2" t="n">
        <v>0</v>
      </c>
      <c r="H990" s="2" t="n">
        <v>670</v>
      </c>
      <c r="I990" s="2" t="s">
        <v>26</v>
      </c>
      <c r="J990" s="2" t="n">
        <v>0</v>
      </c>
      <c r="K990" s="2" t="n">
        <v>0</v>
      </c>
      <c r="L990" s="2" t="n">
        <v>0</v>
      </c>
      <c r="M990" s="2" t="s">
        <v>489</v>
      </c>
      <c r="N990" s="3" t="n">
        <v>18.7</v>
      </c>
      <c r="O990" s="3" t="n">
        <v>-5.429</v>
      </c>
      <c r="P990" s="3" t="n">
        <v>153.773</v>
      </c>
      <c r="Q990" s="3" t="s">
        <v>629</v>
      </c>
      <c r="R990" s="2"/>
      <c r="S990" s="2"/>
      <c r="T990" s="4" t="n">
        <f aca="false">DATE(VALUE(MID(C990,7,4)),VALUE(MID(C990,4,2)),VALUE(MID(C990,1,2)))+TIME(VALUE(MID(C990,12,2)),VALUE(MID(C990,15,2)),0)</f>
        <v>34927.6833333333</v>
      </c>
      <c r="U990" s="2" t="str">
        <f aca="false">IF(AND(ISNUMBER(VALUE(MID(A990,7,1))),ISNUMBER(SEARCH("km",A990)),ISNUMBER(SEARCH("of",A990))),"Distance-location","Named-region")</f>
        <v>Named-region</v>
      </c>
      <c r="V990" s="2" t="str">
        <f aca="false">LOWER(M990)</f>
        <v>mw</v>
      </c>
      <c r="W990" s="5" t="str">
        <f aca="false">IF(COUNTIFS($A$2:$A$1001,A990,$C$2:$C$1001,C990)&gt;1,"Duplicate","Unique")</f>
        <v>Unique</v>
      </c>
    </row>
    <row r="991" customFormat="false" ht="15" hidden="false" customHeight="false" outlineLevel="0" collapsed="false">
      <c r="A991" s="2" t="s">
        <v>2552</v>
      </c>
      <c r="B991" s="3" t="n">
        <v>7.7</v>
      </c>
      <c r="C991" s="2" t="s">
        <v>2553</v>
      </c>
      <c r="D991" s="2" t="n">
        <v>0</v>
      </c>
      <c r="E991" s="2" t="n">
        <v>6</v>
      </c>
      <c r="F991" s="2"/>
      <c r="G991" s="2" t="n">
        <v>0</v>
      </c>
      <c r="H991" s="2" t="n">
        <v>912</v>
      </c>
      <c r="I991" s="2" t="s">
        <v>26</v>
      </c>
      <c r="J991" s="2" t="n">
        <v>0</v>
      </c>
      <c r="K991" s="2" t="n">
        <v>0</v>
      </c>
      <c r="L991" s="2" t="n">
        <v>0</v>
      </c>
      <c r="M991" s="2" t="s">
        <v>489</v>
      </c>
      <c r="N991" s="3" t="n">
        <v>30.1</v>
      </c>
      <c r="O991" s="3" t="n">
        <v>-5.799</v>
      </c>
      <c r="P991" s="3" t="n">
        <v>154.178</v>
      </c>
      <c r="Q991" s="3" t="s">
        <v>740</v>
      </c>
      <c r="R991" s="2"/>
      <c r="S991" s="2"/>
      <c r="T991" s="4" t="n">
        <f aca="false">DATE(VALUE(MID(C991,7,4)),VALUE(MID(C991,4,2)),VALUE(MID(C991,1,2)))+TIME(VALUE(MID(C991,12,2)),VALUE(MID(C991,15,2)),0)</f>
        <v>34927.4354166667</v>
      </c>
      <c r="U991" s="2" t="str">
        <f aca="false">IF(AND(ISNUMBER(VALUE(MID(A991,7,1))),ISNUMBER(SEARCH("km",A991)),ISNUMBER(SEARCH("of",A991))),"Distance-location","Named-region")</f>
        <v>Named-region</v>
      </c>
      <c r="V991" s="2" t="str">
        <f aca="false">LOWER(M991)</f>
        <v>mw</v>
      </c>
      <c r="W991" s="5" t="str">
        <f aca="false">IF(COUNTIFS($A$2:$A$1001,A991,$C$2:$C$1001,C991)&gt;1,"Duplicate","Unique")</f>
        <v>Unique</v>
      </c>
    </row>
    <row r="992" customFormat="false" ht="15" hidden="false" customHeight="false" outlineLevel="0" collapsed="false">
      <c r="A992" s="2" t="s">
        <v>2554</v>
      </c>
      <c r="B992" s="3" t="n">
        <v>6.7</v>
      </c>
      <c r="C992" s="2" t="s">
        <v>2555</v>
      </c>
      <c r="D992" s="2" t="n">
        <v>0</v>
      </c>
      <c r="E992" s="2" t="n">
        <v>6</v>
      </c>
      <c r="F992" s="2"/>
      <c r="G992" s="2" t="n">
        <v>0</v>
      </c>
      <c r="H992" s="2" t="n">
        <v>691</v>
      </c>
      <c r="I992" s="2" t="s">
        <v>26</v>
      </c>
      <c r="J992" s="2" t="n">
        <v>0</v>
      </c>
      <c r="K992" s="2" t="n">
        <v>0</v>
      </c>
      <c r="L992" s="2" t="n">
        <v>0</v>
      </c>
      <c r="M992" s="2" t="s">
        <v>489</v>
      </c>
      <c r="N992" s="3" t="n">
        <v>127.9</v>
      </c>
      <c r="O992" s="3" t="n">
        <v>-4.836</v>
      </c>
      <c r="P992" s="3" t="n">
        <v>151.515</v>
      </c>
      <c r="Q992" s="3" t="s">
        <v>629</v>
      </c>
      <c r="R992" s="2"/>
      <c r="S992" s="2" t="s">
        <v>89</v>
      </c>
      <c r="T992" s="4" t="n">
        <f aca="false">DATE(VALUE(MID(C992,7,4)),VALUE(MID(C992,4,2)),VALUE(MID(C992,1,2)))+TIME(VALUE(MID(C992,12,2)),VALUE(MID(C992,15,2)),0)</f>
        <v>34925.1923611111</v>
      </c>
      <c r="U992" s="2" t="str">
        <f aca="false">IF(AND(ISNUMBER(VALUE(MID(A992,7,1))),ISNUMBER(SEARCH("km",A992)),ISNUMBER(SEARCH("of",A992))),"Distance-location","Named-region")</f>
        <v>Named-region</v>
      </c>
      <c r="V992" s="2" t="str">
        <f aca="false">LOWER(M992)</f>
        <v>mw</v>
      </c>
      <c r="W992" s="5" t="str">
        <f aca="false">IF(COUNTIFS($A$2:$A$1001,A992,$C$2:$C$1001,C992)&gt;1,"Duplicate","Unique")</f>
        <v>Unique</v>
      </c>
    </row>
    <row r="993" customFormat="false" ht="15" hidden="false" customHeight="false" outlineLevel="0" collapsed="false">
      <c r="A993" s="2" t="s">
        <v>2556</v>
      </c>
      <c r="B993" s="3" t="n">
        <v>8</v>
      </c>
      <c r="C993" s="2" t="s">
        <v>2557</v>
      </c>
      <c r="D993" s="2" t="n">
        <v>0</v>
      </c>
      <c r="E993" s="2" t="n">
        <v>8</v>
      </c>
      <c r="F993" s="2"/>
      <c r="G993" s="2" t="n">
        <v>0</v>
      </c>
      <c r="H993" s="2" t="n">
        <v>985</v>
      </c>
      <c r="I993" s="2" t="s">
        <v>26</v>
      </c>
      <c r="J993" s="2" t="n">
        <v>0</v>
      </c>
      <c r="K993" s="2" t="n">
        <v>0</v>
      </c>
      <c r="L993" s="2" t="n">
        <v>0</v>
      </c>
      <c r="M993" s="2" t="s">
        <v>489</v>
      </c>
      <c r="N993" s="3" t="n">
        <v>45.6</v>
      </c>
      <c r="O993" s="3" t="n">
        <v>-23.34</v>
      </c>
      <c r="P993" s="3" t="n">
        <v>-70.294</v>
      </c>
      <c r="Q993" s="3" t="s">
        <v>1634</v>
      </c>
      <c r="R993" s="2" t="s">
        <v>37</v>
      </c>
      <c r="S993" s="2" t="s">
        <v>377</v>
      </c>
      <c r="T993" s="4" t="n">
        <f aca="false">DATE(VALUE(MID(C993,7,4)),VALUE(MID(C993,4,2)),VALUE(MID(C993,1,2)))+TIME(VALUE(MID(C993,12,2)),VALUE(MID(C993,15,2)),0)</f>
        <v>34910.2159722222</v>
      </c>
      <c r="U993" s="2" t="str">
        <f aca="false">IF(AND(ISNUMBER(VALUE(MID(A993,7,1))),ISNUMBER(SEARCH("km",A993)),ISNUMBER(SEARCH("of",A993))),"Distance-location","Named-region")</f>
        <v>Named-region</v>
      </c>
      <c r="V993" s="2" t="str">
        <f aca="false">LOWER(M993)</f>
        <v>mw</v>
      </c>
      <c r="W993" s="5" t="str">
        <f aca="false">IF(COUNTIFS($A$2:$A$1001,A993,$C$2:$C$1001,C993)&gt;1,"Duplicate","Unique")</f>
        <v>Unique</v>
      </c>
    </row>
    <row r="994" customFormat="false" ht="15" hidden="false" customHeight="false" outlineLevel="0" collapsed="false">
      <c r="A994" s="2" t="s">
        <v>2558</v>
      </c>
      <c r="B994" s="3" t="n">
        <v>6.8</v>
      </c>
      <c r="C994" s="2" t="s">
        <v>2559</v>
      </c>
      <c r="D994" s="2" t="n">
        <v>0</v>
      </c>
      <c r="E994" s="2" t="n">
        <v>8</v>
      </c>
      <c r="F994" s="2"/>
      <c r="G994" s="2" t="n">
        <v>0</v>
      </c>
      <c r="H994" s="2" t="n">
        <v>711</v>
      </c>
      <c r="I994" s="2" t="s">
        <v>26</v>
      </c>
      <c r="J994" s="2" t="n">
        <v>0</v>
      </c>
      <c r="K994" s="2" t="n">
        <v>0</v>
      </c>
      <c r="L994" s="2" t="n">
        <v>0</v>
      </c>
      <c r="M994" s="2" t="s">
        <v>489</v>
      </c>
      <c r="N994" s="3" t="n">
        <v>12.5</v>
      </c>
      <c r="O994" s="3" t="n">
        <v>21.966</v>
      </c>
      <c r="P994" s="3" t="n">
        <v>99.196</v>
      </c>
      <c r="Q994" s="3" t="s">
        <v>2560</v>
      </c>
      <c r="R994" s="2" t="s">
        <v>84</v>
      </c>
      <c r="S994" s="2" t="s">
        <v>805</v>
      </c>
      <c r="T994" s="4" t="n">
        <f aca="false">DATE(VALUE(MID(C994,7,4)),VALUE(MID(C994,4,2)),VALUE(MID(C994,1,2)))+TIME(VALUE(MID(C994,12,2)),VALUE(MID(C994,15,2)),0)</f>
        <v>34891.9069444445</v>
      </c>
      <c r="U994" s="2" t="str">
        <f aca="false">IF(AND(ISNUMBER(VALUE(MID(A994,7,1))),ISNUMBER(SEARCH("km",A994)),ISNUMBER(SEARCH("of",A994))),"Distance-location","Named-region")</f>
        <v>Named-region</v>
      </c>
      <c r="V994" s="2" t="str">
        <f aca="false">LOWER(M994)</f>
        <v>mw</v>
      </c>
      <c r="W994" s="5" t="str">
        <f aca="false">IF(COUNTIFS($A$2:$A$1001,A994,$C$2:$C$1001,C994)&gt;1,"Duplicate","Unique")</f>
        <v>Unique</v>
      </c>
    </row>
    <row r="995" customFormat="false" ht="15" hidden="false" customHeight="false" outlineLevel="0" collapsed="false">
      <c r="A995" s="2" t="s">
        <v>2561</v>
      </c>
      <c r="B995" s="3" t="n">
        <v>6.6</v>
      </c>
      <c r="C995" s="2" t="s">
        <v>2562</v>
      </c>
      <c r="D995" s="2" t="n">
        <v>0</v>
      </c>
      <c r="E995" s="2" t="n">
        <v>5</v>
      </c>
      <c r="F995" s="2"/>
      <c r="G995" s="2" t="n">
        <v>0</v>
      </c>
      <c r="H995" s="2" t="n">
        <v>670</v>
      </c>
      <c r="I995" s="2" t="s">
        <v>26</v>
      </c>
      <c r="J995" s="2" t="n">
        <v>0</v>
      </c>
      <c r="K995" s="2" t="n">
        <v>0</v>
      </c>
      <c r="L995" s="2" t="n">
        <v>0</v>
      </c>
      <c r="M995" s="2" t="s">
        <v>489</v>
      </c>
      <c r="N995" s="3" t="n">
        <v>139.4</v>
      </c>
      <c r="O995" s="3" t="n">
        <v>-19.544</v>
      </c>
      <c r="P995" s="3" t="n">
        <v>169.287</v>
      </c>
      <c r="Q995" s="3" t="s">
        <v>181</v>
      </c>
      <c r="R995" s="2"/>
      <c r="S995" s="2" t="s">
        <v>29</v>
      </c>
      <c r="T995" s="4" t="n">
        <f aca="false">DATE(VALUE(MID(C995,7,4)),VALUE(MID(C995,4,2)),VALUE(MID(C995,1,2)))+TIME(VALUE(MID(C995,12,2)),VALUE(MID(C995,15,2)),0)</f>
        <v>34879.5166666667</v>
      </c>
      <c r="U995" s="2" t="str">
        <f aca="false">IF(AND(ISNUMBER(VALUE(MID(A995,7,1))),ISNUMBER(SEARCH("km",A995)),ISNUMBER(SEARCH("of",A995))),"Distance-location","Named-region")</f>
        <v>Named-region</v>
      </c>
      <c r="V995" s="2" t="str">
        <f aca="false">LOWER(M995)</f>
        <v>mw</v>
      </c>
      <c r="W995" s="5" t="str">
        <f aca="false">IF(COUNTIFS($A$2:$A$1001,A995,$C$2:$C$1001,C995)&gt;1,"Duplicate","Unique")</f>
        <v>Unique</v>
      </c>
    </row>
    <row r="996" customFormat="false" ht="15" hidden="false" customHeight="false" outlineLevel="0" collapsed="false">
      <c r="A996" s="2" t="s">
        <v>2563</v>
      </c>
      <c r="B996" s="3" t="n">
        <v>6.5</v>
      </c>
      <c r="C996" s="2" t="s">
        <v>2564</v>
      </c>
      <c r="D996" s="2" t="n">
        <v>0</v>
      </c>
      <c r="E996" s="2" t="n">
        <v>7</v>
      </c>
      <c r="F996" s="2"/>
      <c r="G996" s="2" t="n">
        <v>0</v>
      </c>
      <c r="H996" s="2" t="n">
        <v>650</v>
      </c>
      <c r="I996" s="2" t="s">
        <v>26</v>
      </c>
      <c r="J996" s="2" t="n">
        <v>0</v>
      </c>
      <c r="K996" s="2" t="n">
        <v>0</v>
      </c>
      <c r="L996" s="2" t="n">
        <v>0</v>
      </c>
      <c r="M996" s="2" t="s">
        <v>489</v>
      </c>
      <c r="N996" s="3" t="n">
        <v>14.2</v>
      </c>
      <c r="O996" s="3" t="n">
        <v>38.401</v>
      </c>
      <c r="P996" s="3" t="n">
        <v>22.283</v>
      </c>
      <c r="Q996" s="3" t="s">
        <v>2565</v>
      </c>
      <c r="R996" s="2" t="s">
        <v>365</v>
      </c>
      <c r="S996" s="2" t="s">
        <v>366</v>
      </c>
      <c r="T996" s="4" t="n">
        <f aca="false">DATE(VALUE(MID(C996,7,4)),VALUE(MID(C996,4,2)),VALUE(MID(C996,1,2)))+TIME(VALUE(MID(C996,12,2)),VALUE(MID(C996,15,2)),0)</f>
        <v>34865.0104166667</v>
      </c>
      <c r="U996" s="2" t="str">
        <f aca="false">IF(AND(ISNUMBER(VALUE(MID(A996,7,1))),ISNUMBER(SEARCH("km",A996)),ISNUMBER(SEARCH("of",A996))),"Distance-location","Named-region")</f>
        <v>Named-region</v>
      </c>
      <c r="V996" s="2" t="str">
        <f aca="false">LOWER(M996)</f>
        <v>mw</v>
      </c>
      <c r="W996" s="5" t="str">
        <f aca="false">IF(COUNTIFS($A$2:$A$1001,A996,$C$2:$C$1001,C996)&gt;1,"Duplicate","Unique")</f>
        <v>Unique</v>
      </c>
    </row>
    <row r="997" customFormat="false" ht="15" hidden="false" customHeight="false" outlineLevel="0" collapsed="false">
      <c r="A997" s="2" t="s">
        <v>2566</v>
      </c>
      <c r="B997" s="3" t="n">
        <v>7.1</v>
      </c>
      <c r="C997" s="2" t="s">
        <v>2567</v>
      </c>
      <c r="D997" s="2" t="n">
        <v>0</v>
      </c>
      <c r="E997" s="2" t="n">
        <v>9</v>
      </c>
      <c r="F997" s="2"/>
      <c r="G997" s="2" t="n">
        <v>0</v>
      </c>
      <c r="H997" s="2" t="n">
        <v>776</v>
      </c>
      <c r="I997" s="2" t="s">
        <v>26</v>
      </c>
      <c r="J997" s="2" t="n">
        <v>0</v>
      </c>
      <c r="K997" s="2" t="n">
        <v>0</v>
      </c>
      <c r="L997" s="2" t="n">
        <v>0</v>
      </c>
      <c r="M997" s="2" t="s">
        <v>158</v>
      </c>
      <c r="N997" s="3" t="n">
        <v>11</v>
      </c>
      <c r="O997" s="3" t="n">
        <v>52.629</v>
      </c>
      <c r="P997" s="3" t="n">
        <v>142.827</v>
      </c>
      <c r="Q997" s="3" t="s">
        <v>2568</v>
      </c>
      <c r="R997" s="2" t="s">
        <v>84</v>
      </c>
      <c r="S997" s="2" t="s">
        <v>432</v>
      </c>
      <c r="T997" s="4" t="n">
        <f aca="false">DATE(VALUE(MID(C997,7,4)),VALUE(MID(C997,4,2)),VALUE(MID(C997,1,2)))+TIME(VALUE(MID(C997,12,2)),VALUE(MID(C997,15,2)),0)</f>
        <v>34846.54375</v>
      </c>
      <c r="U997" s="2" t="str">
        <f aca="false">IF(AND(ISNUMBER(VALUE(MID(A997,7,1))),ISNUMBER(SEARCH("km",A997)),ISNUMBER(SEARCH("of",A997))),"Distance-location","Named-region")</f>
        <v>Named-region</v>
      </c>
      <c r="V997" s="2" t="str">
        <f aca="false">LOWER(M997)</f>
        <v>mwb</v>
      </c>
      <c r="W997" s="5" t="str">
        <f aca="false">IF(COUNTIFS($A$2:$A$1001,A997,$C$2:$C$1001,C997)&gt;1,"Duplicate","Unique")</f>
        <v>Unique</v>
      </c>
    </row>
    <row r="998" customFormat="false" ht="15" hidden="false" customHeight="false" outlineLevel="0" collapsed="false">
      <c r="A998" s="2" t="s">
        <v>2569</v>
      </c>
      <c r="B998" s="3" t="n">
        <v>7.7</v>
      </c>
      <c r="C998" s="2" t="s">
        <v>2570</v>
      </c>
      <c r="D998" s="2" t="n">
        <v>0</v>
      </c>
      <c r="E998" s="2" t="n">
        <v>4</v>
      </c>
      <c r="F998" s="2"/>
      <c r="G998" s="2" t="n">
        <v>0</v>
      </c>
      <c r="H998" s="2" t="n">
        <v>912</v>
      </c>
      <c r="I998" s="2" t="s">
        <v>26</v>
      </c>
      <c r="J998" s="2" t="n">
        <v>0</v>
      </c>
      <c r="K998" s="2" t="n">
        <v>0</v>
      </c>
      <c r="L998" s="2" t="n">
        <v>0</v>
      </c>
      <c r="M998" s="2" t="s">
        <v>489</v>
      </c>
      <c r="N998" s="3" t="n">
        <v>20.2</v>
      </c>
      <c r="O998" s="3" t="n">
        <v>-23.008</v>
      </c>
      <c r="P998" s="3" t="n">
        <v>169.9</v>
      </c>
      <c r="Q998" s="3" t="s">
        <v>2571</v>
      </c>
      <c r="R998" s="2"/>
      <c r="S998" s="2"/>
      <c r="T998" s="4" t="n">
        <f aca="false">DATE(VALUE(MID(C998,7,4)),VALUE(MID(C998,4,2)),VALUE(MID(C998,1,2)))+TIME(VALUE(MID(C998,12,2)),VALUE(MID(C998,15,2)),0)</f>
        <v>34835.8416666667</v>
      </c>
      <c r="U998" s="2" t="str">
        <f aca="false">IF(AND(ISNUMBER(VALUE(MID(A998,7,1))),ISNUMBER(SEARCH("km",A998)),ISNUMBER(SEARCH("of",A998))),"Distance-location","Named-region")</f>
        <v>Named-region</v>
      </c>
      <c r="V998" s="2" t="str">
        <f aca="false">LOWER(M998)</f>
        <v>mw</v>
      </c>
      <c r="W998" s="5" t="str">
        <f aca="false">IF(COUNTIFS($A$2:$A$1001,A998,$C$2:$C$1001,C998)&gt;1,"Duplicate","Unique")</f>
        <v>Unique</v>
      </c>
    </row>
    <row r="999" customFormat="false" ht="15" hidden="false" customHeight="false" outlineLevel="0" collapsed="false">
      <c r="A999" s="2" t="s">
        <v>2572</v>
      </c>
      <c r="B999" s="3" t="n">
        <v>6.9</v>
      </c>
      <c r="C999" s="2" t="s">
        <v>2573</v>
      </c>
      <c r="D999" s="2" t="n">
        <v>0</v>
      </c>
      <c r="E999" s="2" t="n">
        <v>6</v>
      </c>
      <c r="F999" s="2"/>
      <c r="G999" s="2" t="n">
        <v>0</v>
      </c>
      <c r="H999" s="2" t="n">
        <v>732</v>
      </c>
      <c r="I999" s="2" t="s">
        <v>26</v>
      </c>
      <c r="J999" s="2" t="n">
        <v>0</v>
      </c>
      <c r="K999" s="2" t="n">
        <v>0</v>
      </c>
      <c r="L999" s="2" t="n">
        <v>0</v>
      </c>
      <c r="M999" s="2" t="s">
        <v>489</v>
      </c>
      <c r="N999" s="3" t="n">
        <v>11.2</v>
      </c>
      <c r="O999" s="3" t="n">
        <v>-8.378</v>
      </c>
      <c r="P999" s="3" t="n">
        <v>125.127</v>
      </c>
      <c r="Q999" s="3" t="s">
        <v>900</v>
      </c>
      <c r="R999" s="2"/>
      <c r="S999" s="2" t="s">
        <v>72</v>
      </c>
      <c r="T999" s="4" t="n">
        <f aca="false">DATE(VALUE(MID(C999,7,4)),VALUE(MID(C999,4,2)),VALUE(MID(C999,1,2)))+TIME(VALUE(MID(C999,12,2)),VALUE(MID(C999,15,2)),0)</f>
        <v>34833.48125</v>
      </c>
      <c r="U999" s="2" t="str">
        <f aca="false">IF(AND(ISNUMBER(VALUE(MID(A999,7,1))),ISNUMBER(SEARCH("km",A999)),ISNUMBER(SEARCH("of",A999))),"Distance-location","Named-region")</f>
        <v>Named-region</v>
      </c>
      <c r="V999" s="2" t="str">
        <f aca="false">LOWER(M999)</f>
        <v>mw</v>
      </c>
      <c r="W999" s="5" t="str">
        <f aca="false">IF(COUNTIFS($A$2:$A$1001,A999,$C$2:$C$1001,C999)&gt;1,"Duplicate","Unique")</f>
        <v>Unique</v>
      </c>
    </row>
    <row r="1000" customFormat="false" ht="15" hidden="false" customHeight="false" outlineLevel="0" collapsed="false">
      <c r="A1000" s="2" t="s">
        <v>2574</v>
      </c>
      <c r="B1000" s="3" t="n">
        <v>6.6</v>
      </c>
      <c r="C1000" s="2" t="s">
        <v>2575</v>
      </c>
      <c r="D1000" s="2" t="n">
        <v>0</v>
      </c>
      <c r="E1000" s="2" t="n">
        <v>9</v>
      </c>
      <c r="F1000" s="2"/>
      <c r="G1000" s="2" t="n">
        <v>0</v>
      </c>
      <c r="H1000" s="2" t="n">
        <v>670</v>
      </c>
      <c r="I1000" s="2" t="s">
        <v>26</v>
      </c>
      <c r="J1000" s="2" t="n">
        <v>0</v>
      </c>
      <c r="K1000" s="2" t="n">
        <v>0</v>
      </c>
      <c r="L1000" s="2" t="n">
        <v>0</v>
      </c>
      <c r="M1000" s="2" t="s">
        <v>489</v>
      </c>
      <c r="N1000" s="3" t="n">
        <v>14</v>
      </c>
      <c r="O1000" s="3" t="n">
        <v>40.149</v>
      </c>
      <c r="P1000" s="3" t="n">
        <v>21.695</v>
      </c>
      <c r="Q1000" s="3" t="s">
        <v>2576</v>
      </c>
      <c r="R1000" s="2" t="s">
        <v>365</v>
      </c>
      <c r="S1000" s="2" t="s">
        <v>366</v>
      </c>
      <c r="T1000" s="4" t="n">
        <f aca="false">DATE(VALUE(MID(C1000,7,4)),VALUE(MID(C1000,4,2)),VALUE(MID(C1000,1,2)))+TIME(VALUE(MID(C1000,12,2)),VALUE(MID(C1000,15,2)),0)</f>
        <v>34832.3659722222</v>
      </c>
      <c r="U1000" s="2" t="str">
        <f aca="false">IF(AND(ISNUMBER(VALUE(MID(A1000,7,1))),ISNUMBER(SEARCH("km",A1000)),ISNUMBER(SEARCH("of",A1000))),"Distance-location","Named-region")</f>
        <v>Named-region</v>
      </c>
      <c r="V1000" s="2" t="str">
        <f aca="false">LOWER(M1000)</f>
        <v>mw</v>
      </c>
      <c r="W1000" s="5" t="str">
        <f aca="false">IF(COUNTIFS($A$2:$A$1001,A1000,$C$2:$C$1001,C1000)&gt;1,"Duplicate","Unique")</f>
        <v>Unique</v>
      </c>
    </row>
    <row r="1001" customFormat="false" ht="15" hidden="false" customHeight="false" outlineLevel="0" collapsed="false">
      <c r="A1001" s="2" t="s">
        <v>2577</v>
      </c>
      <c r="B1001" s="3" t="n">
        <v>7.1</v>
      </c>
      <c r="C1001" s="2" t="s">
        <v>2578</v>
      </c>
      <c r="D1001" s="2" t="n">
        <v>0</v>
      </c>
      <c r="E1001" s="2" t="n">
        <v>7</v>
      </c>
      <c r="F1001" s="2"/>
      <c r="G1001" s="2" t="n">
        <v>0</v>
      </c>
      <c r="H1001" s="2" t="n">
        <v>776</v>
      </c>
      <c r="I1001" s="2" t="s">
        <v>26</v>
      </c>
      <c r="J1001" s="2" t="n">
        <v>0</v>
      </c>
      <c r="K1001" s="2" t="n">
        <v>0</v>
      </c>
      <c r="L1001" s="2" t="n">
        <v>0</v>
      </c>
      <c r="M1001" s="2" t="s">
        <v>489</v>
      </c>
      <c r="N1001" s="3" t="n">
        <v>16</v>
      </c>
      <c r="O1001" s="3" t="n">
        <v>12.626</v>
      </c>
      <c r="P1001" s="3" t="n">
        <v>125.297</v>
      </c>
      <c r="Q1001" s="3" t="s">
        <v>2579</v>
      </c>
      <c r="R1001" s="2"/>
      <c r="S1001" s="2" t="s">
        <v>195</v>
      </c>
      <c r="T1001" s="4" t="n">
        <f aca="false">DATE(VALUE(MID(C1001,7,4)),VALUE(MID(C1001,4,2)),VALUE(MID(C1001,1,2)))+TIME(VALUE(MID(C1001,12,2)),VALUE(MID(C1001,15,2)),0)</f>
        <v>34824.1618055556</v>
      </c>
      <c r="U1001" s="2" t="str">
        <f aca="false">IF(AND(ISNUMBER(VALUE(MID(A1001,7,1))),ISNUMBER(SEARCH("km",A1001)),ISNUMBER(SEARCH("of",A1001))),"Distance-location","Named-region")</f>
        <v>Named-region</v>
      </c>
      <c r="V1001" s="2" t="str">
        <f aca="false">LOWER(M1001)</f>
        <v>mw</v>
      </c>
      <c r="W1001" s="5" t="str">
        <f aca="false">IF(COUNTIFS($A$2:$A$1001,A1001,$C$2:$C$1001,C1001)&gt;1,"Duplicate","Unique")</f>
        <v>Unique</v>
      </c>
    </row>
  </sheetData>
  <autoFilter ref="A1:W1001"/>
  <conditionalFormatting sqref="W2:W1001">
    <cfRule type="cellIs" priority="2" operator="equal" aboveAverage="0" equalAverage="0" bottom="0" percent="0" rank="0" text="" dxfId="5">
      <formula>"Duplicate"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3"/>
  </cols>
  <sheetData>
    <row r="1" customFormat="false" ht="22.35" hidden="false" customHeight="true" outlineLevel="0" collapsed="false">
      <c r="A1" s="6" t="s">
        <v>2580</v>
      </c>
      <c r="B1" s="6"/>
      <c r="C1" s="6"/>
      <c r="D1" s="6"/>
      <c r="E1" s="6"/>
      <c r="F1" s="6"/>
      <c r="G1" s="6"/>
      <c r="H1" s="6"/>
    </row>
    <row r="3" customFormat="false" ht="28.35" hidden="false" customHeight="false" outlineLevel="0" collapsed="false">
      <c r="A3" s="7" t="s">
        <v>2581</v>
      </c>
      <c r="B3" s="7" t="s">
        <v>2582</v>
      </c>
      <c r="C3" s="7" t="s">
        <v>2583</v>
      </c>
      <c r="D3" s="8"/>
      <c r="E3" s="8"/>
      <c r="F3" s="8"/>
      <c r="G3" s="8"/>
      <c r="H3" s="8"/>
    </row>
    <row r="4" customFormat="false" ht="28.35" hidden="false" customHeight="false" outlineLevel="0" collapsed="false">
      <c r="A4" s="9" t="s">
        <v>2584</v>
      </c>
      <c r="B4" s="9" t="n">
        <f aca="false">COUNTA(Raw_Data!A2:A1001)</f>
        <v>1000</v>
      </c>
      <c r="C4" s="9" t="n">
        <f aca="false">COUNTA(Raw_Data!A2:A1001)</f>
        <v>1000</v>
      </c>
    </row>
    <row r="5" customFormat="false" ht="28.35" hidden="false" customHeight="false" outlineLevel="0" collapsed="false">
      <c r="A5" s="9" t="s">
        <v>2585</v>
      </c>
      <c r="B5" s="9" t="n">
        <f aca="false">MIN(Raw_Data!B2:B1001)</f>
        <v>6.5</v>
      </c>
      <c r="C5" s="9" t="n">
        <f aca="false">MIN(Raw_Data!B2:B1001)</f>
        <v>6.5</v>
      </c>
    </row>
    <row r="6" customFormat="false" ht="28.35" hidden="false" customHeight="false" outlineLevel="0" collapsed="false">
      <c r="A6" s="9" t="s">
        <v>2586</v>
      </c>
      <c r="B6" s="9" t="n">
        <f aca="false">MAX(Raw_Data!B2:B1001)</f>
        <v>9.1</v>
      </c>
      <c r="C6" s="9" t="n">
        <f aca="false">MAX(Raw_Data!B2:B1001)</f>
        <v>9.1</v>
      </c>
    </row>
    <row r="7" customFormat="false" ht="28.35" hidden="false" customHeight="false" outlineLevel="0" collapsed="false">
      <c r="A7" s="9" t="s">
        <v>2587</v>
      </c>
      <c r="B7" s="9" t="n">
        <f aca="false">AVERAGE(Raw_Data!B2:B1001)</f>
        <v>6.94015</v>
      </c>
      <c r="C7" s="9" t="n">
        <f aca="false">AVERAGE(Raw_Data!B2:B1001)</f>
        <v>6.94015</v>
      </c>
    </row>
    <row r="8" customFormat="false" ht="28.35" hidden="false" customHeight="false" outlineLevel="0" collapsed="false">
      <c r="A8" s="9" t="s">
        <v>2588</v>
      </c>
      <c r="B8" s="9" t="n">
        <f aca="false">MIN(Raw_Data!N2:N1001)</f>
        <v>2.7</v>
      </c>
      <c r="C8" s="9" t="n">
        <f aca="false">MIN(Raw_Data!N2:N1001)</f>
        <v>2.7</v>
      </c>
    </row>
    <row r="9" customFormat="false" ht="28.35" hidden="false" customHeight="false" outlineLevel="0" collapsed="false">
      <c r="A9" s="9" t="s">
        <v>2589</v>
      </c>
      <c r="B9" s="9" t="n">
        <f aca="false">MAX(Raw_Data!N2:N1001)</f>
        <v>670.81</v>
      </c>
      <c r="C9" s="9" t="n">
        <f aca="false">MAX(Raw_Data!N2:N1001)</f>
        <v>670.81</v>
      </c>
    </row>
    <row r="10" customFormat="false" ht="15" hidden="false" customHeight="false" outlineLevel="0" collapsed="false">
      <c r="A10" s="9" t="s">
        <v>2590</v>
      </c>
      <c r="B10" s="9" t="n">
        <f aca="false">AVERAGE(Raw_Data!N2:N1001)</f>
        <v>74.612541</v>
      </c>
      <c r="C10" s="9" t="n">
        <f aca="false">AVERAGE(Raw_Data!N2:N1001)</f>
        <v>74.612541</v>
      </c>
    </row>
    <row r="13" customFormat="false" ht="28.35" hidden="false" customHeight="false" outlineLevel="0" collapsed="false">
      <c r="A13" s="7" t="s">
        <v>2591</v>
      </c>
      <c r="B13" s="7" t="s">
        <v>2592</v>
      </c>
      <c r="C13" s="8"/>
      <c r="D13" s="7" t="s">
        <v>2593</v>
      </c>
      <c r="E13" s="7" t="s">
        <v>2592</v>
      </c>
      <c r="F13" s="8"/>
      <c r="G13" s="8"/>
      <c r="H13" s="8"/>
    </row>
    <row r="14" customFormat="false" ht="15" hidden="false" customHeight="false" outlineLevel="0" collapsed="false">
      <c r="A14" s="2" t="s">
        <v>44</v>
      </c>
      <c r="B14" s="2" t="n">
        <f aca="false">COUNTIF(Raw_Data!M$2:M$1001,A14)</f>
        <v>5</v>
      </c>
      <c r="D14" s="2" t="s">
        <v>25</v>
      </c>
      <c r="E14" s="2" t="n">
        <f aca="false">COUNTIF(Raw_Data!F$2:F$1001,D14)</f>
        <v>353</v>
      </c>
    </row>
    <row r="15" customFormat="false" ht="15" hidden="false" customHeight="false" outlineLevel="0" collapsed="false">
      <c r="A15" s="2" t="s">
        <v>1378</v>
      </c>
      <c r="B15" s="2" t="n">
        <f aca="false">COUNTIF(Raw_Data!M$2:M$1001,A15)</f>
        <v>4</v>
      </c>
      <c r="D15" s="2" t="s">
        <v>32</v>
      </c>
      <c r="E15" s="2" t="n">
        <f aca="false">COUNTIF(Raw_Data!F$2:F$1001,D15)</f>
        <v>59</v>
      </c>
    </row>
    <row r="16" customFormat="false" ht="15" hidden="false" customHeight="false" outlineLevel="0" collapsed="false">
      <c r="A16" s="2" t="s">
        <v>1736</v>
      </c>
      <c r="B16" s="2" t="n">
        <f aca="false">COUNTIF(Raw_Data!M$2:M$1001,A16)</f>
        <v>2</v>
      </c>
      <c r="D16" s="2" t="s">
        <v>99</v>
      </c>
      <c r="E16" s="2" t="n">
        <f aca="false">COUNTIF(Raw_Data!F$2:F$1001,D16)</f>
        <v>24</v>
      </c>
    </row>
    <row r="17" customFormat="false" ht="15" hidden="false" customHeight="false" outlineLevel="0" collapsed="false">
      <c r="A17" s="2" t="s">
        <v>412</v>
      </c>
      <c r="B17" s="2" t="n">
        <f aca="false">COUNTIF(Raw_Data!M$2:M$1001,A17)</f>
        <v>1</v>
      </c>
      <c r="D17" s="2" t="s">
        <v>125</v>
      </c>
      <c r="E17" s="2" t="n">
        <f aca="false">COUNTIF(Raw_Data!F$2:F$1001,D17)</f>
        <v>13</v>
      </c>
    </row>
    <row r="18" customFormat="false" ht="15" hidden="false" customHeight="false" outlineLevel="0" collapsed="false">
      <c r="A18" s="2" t="s">
        <v>1374</v>
      </c>
      <c r="B18" s="2" t="n">
        <f aca="false">COUNTIF(Raw_Data!M$2:M$1001,A18)</f>
        <v>3</v>
      </c>
      <c r="D18" s="2" t="s">
        <v>2594</v>
      </c>
      <c r="E18" s="2" t="n">
        <f aca="false">COUNTBLANK(Raw_Data!F$2:F$1001)</f>
        <v>551</v>
      </c>
    </row>
    <row r="19" customFormat="false" ht="15" hidden="false" customHeight="false" outlineLevel="0" collapsed="false">
      <c r="A19" s="2" t="s">
        <v>489</v>
      </c>
      <c r="B19" s="2" t="n">
        <f aca="false">COUNTIF(Raw_Data!M$2:M$1001,A19)</f>
        <v>51</v>
      </c>
    </row>
    <row r="20" customFormat="false" ht="15" hidden="false" customHeight="false" outlineLevel="0" collapsed="false">
      <c r="A20" s="2" t="s">
        <v>158</v>
      </c>
      <c r="B20" s="2" t="n">
        <f aca="false">COUNTIF(Raw_Data!M$2:M$1001,A20)</f>
        <v>100</v>
      </c>
    </row>
    <row r="21" customFormat="false" ht="15" hidden="false" customHeight="false" outlineLevel="0" collapsed="false">
      <c r="A21" s="2" t="s">
        <v>131</v>
      </c>
      <c r="B21" s="2" t="n">
        <f aca="false">COUNTIF(Raw_Data!M$2:M$1001,A21)</f>
        <v>332</v>
      </c>
    </row>
    <row r="22" customFormat="false" ht="15" hidden="false" customHeight="false" outlineLevel="0" collapsed="false">
      <c r="A22" s="2" t="s">
        <v>27</v>
      </c>
      <c r="B22" s="2" t="n">
        <f aca="false">COUNTIF(Raw_Data!M$2:M$1001,A22)</f>
        <v>502</v>
      </c>
    </row>
    <row r="25" customFormat="false" ht="28.35" hidden="false" customHeight="false" outlineLevel="0" collapsed="false">
      <c r="A25" s="10" t="s">
        <v>2595</v>
      </c>
      <c r="B25" s="10" t="s">
        <v>2592</v>
      </c>
      <c r="C25" s="11"/>
      <c r="D25" s="12" t="s">
        <v>2596</v>
      </c>
      <c r="E25" s="12" t="s">
        <v>2597</v>
      </c>
      <c r="F25" s="11"/>
      <c r="G25" s="11"/>
      <c r="H25" s="11"/>
    </row>
    <row r="26" customFormat="false" ht="15" hidden="false" customHeight="false" outlineLevel="0" collapsed="false">
      <c r="A26" s="2" t="s">
        <v>2598</v>
      </c>
      <c r="B26" s="2" t="n">
        <f aca="false">COUNTIFS(Raw_Data!B$2:B$1001,"&gt;=6.5",Raw_Data!B$2:B$1001,"&lt;=6.9")</f>
        <v>627</v>
      </c>
      <c r="D26" s="2" t="n">
        <v>1995</v>
      </c>
      <c r="E26" s="2" t="n">
        <f aca="false">COUNTIFS(Raw_Data!T$2:T$1001,"&gt;="&amp;DATE(D26,1,1),Raw_Data!T$2:T$1001,"&lt;"&amp;DATE(D26+1,1,1))</f>
        <v>29</v>
      </c>
    </row>
    <row r="27" customFormat="false" ht="15" hidden="false" customHeight="false" outlineLevel="0" collapsed="false">
      <c r="A27" s="2" t="s">
        <v>2599</v>
      </c>
      <c r="B27" s="2" t="n">
        <f aca="false">COUNTIFS(Raw_Data!B$2:B$1001,"&gt;=7.0",Raw_Data!B$2:B$1001,"&lt;=7.4")</f>
        <v>229</v>
      </c>
      <c r="D27" s="2" t="n">
        <v>1996</v>
      </c>
      <c r="E27" s="2" t="n">
        <f aca="false">COUNTIFS(Raw_Data!T$2:T$1001,"&gt;="&amp;DATE(D27,1,1),Raw_Data!T$2:T$1001,"&lt;"&amp;DATE(D27+1,1,1))</f>
        <v>35</v>
      </c>
    </row>
    <row r="28" customFormat="false" ht="15" hidden="false" customHeight="false" outlineLevel="0" collapsed="false">
      <c r="A28" s="2" t="s">
        <v>2600</v>
      </c>
      <c r="B28" s="2" t="n">
        <f aca="false">COUNTIFS(Raw_Data!B$2:B$1001,"&gt;=7.5",Raw_Data!B$2:B$1001,"&lt;=7.9")</f>
        <v>112</v>
      </c>
      <c r="D28" s="2" t="n">
        <v>1997</v>
      </c>
      <c r="E28" s="2" t="n">
        <f aca="false">COUNTIFS(Raw_Data!T$2:T$1001,"&gt;="&amp;DATE(D28,1,1),Raw_Data!T$2:T$1001,"&lt;"&amp;DATE(D28+1,1,1))</f>
        <v>28</v>
      </c>
    </row>
    <row r="29" customFormat="false" ht="15" hidden="false" customHeight="false" outlineLevel="0" collapsed="false">
      <c r="A29" s="2" t="s">
        <v>2601</v>
      </c>
      <c r="B29" s="2" t="n">
        <f aca="false">COUNTIFS(Raw_Data!B$2:B$1001,"&gt;=8.0",Raw_Data!B$2:B$1001,"&lt;=8.4")</f>
        <v>27</v>
      </c>
      <c r="D29" s="2" t="n">
        <v>1998</v>
      </c>
      <c r="E29" s="2" t="n">
        <f aca="false">COUNTIFS(Raw_Data!T$2:T$1001,"&gt;="&amp;DATE(D29,1,1),Raw_Data!T$2:T$1001,"&lt;"&amp;DATE(D29+1,1,1))</f>
        <v>23</v>
      </c>
    </row>
    <row r="30" customFormat="false" ht="15" hidden="false" customHeight="false" outlineLevel="0" collapsed="false">
      <c r="A30" s="2" t="s">
        <v>2602</v>
      </c>
      <c r="B30" s="2" t="n">
        <f aca="false">COUNTIFS(Raw_Data!B$2:B$1001,"&gt;=8.5",Raw_Data!B$2:B$1001,"&lt;=99")</f>
        <v>5</v>
      </c>
      <c r="D30" s="2" t="n">
        <v>1999</v>
      </c>
      <c r="E30" s="2" t="n">
        <f aca="false">COUNTIFS(Raw_Data!T$2:T$1001,"&gt;="&amp;DATE(D30,1,1),Raw_Data!T$2:T$1001,"&lt;"&amp;DATE(D30+1,1,1))</f>
        <v>33</v>
      </c>
    </row>
    <row r="31" customFormat="false" ht="15" hidden="false" customHeight="false" outlineLevel="0" collapsed="false">
      <c r="D31" s="2" t="n">
        <v>2000</v>
      </c>
      <c r="E31" s="2" t="n">
        <f aca="false">COUNTIFS(Raw_Data!T$2:T$1001,"&gt;="&amp;DATE(D31,1,1),Raw_Data!T$2:T$1001,"&lt;"&amp;DATE(D31+1,1,1))</f>
        <v>35</v>
      </c>
    </row>
    <row r="32" customFormat="false" ht="15" hidden="false" customHeight="false" outlineLevel="0" collapsed="false">
      <c r="D32" s="2" t="n">
        <v>2001</v>
      </c>
      <c r="E32" s="2" t="n">
        <f aca="false">COUNTIFS(Raw_Data!T$2:T$1001,"&gt;="&amp;DATE(D32,1,1),Raw_Data!T$2:T$1001,"&lt;"&amp;DATE(D32+1,1,1))</f>
        <v>28</v>
      </c>
    </row>
    <row r="33" customFormat="false" ht="15" hidden="false" customHeight="false" outlineLevel="0" collapsed="false">
      <c r="D33" s="2" t="n">
        <v>2002</v>
      </c>
      <c r="E33" s="2" t="n">
        <f aca="false">COUNTIFS(Raw_Data!T$2:T$1001,"&gt;="&amp;DATE(D33,1,1),Raw_Data!T$2:T$1001,"&lt;"&amp;DATE(D33+1,1,1))</f>
        <v>25</v>
      </c>
    </row>
    <row r="34" customFormat="false" ht="15" hidden="false" customHeight="false" outlineLevel="0" collapsed="false">
      <c r="D34" s="2" t="n">
        <v>2003</v>
      </c>
      <c r="E34" s="2" t="n">
        <f aca="false">COUNTIFS(Raw_Data!T$2:T$1001,"&gt;="&amp;DATE(D34,1,1),Raw_Data!T$2:T$1001,"&lt;"&amp;DATE(D34+1,1,1))</f>
        <v>31</v>
      </c>
    </row>
    <row r="35" customFormat="false" ht="15" hidden="false" customHeight="false" outlineLevel="0" collapsed="false">
      <c r="D35" s="2" t="n">
        <v>2004</v>
      </c>
      <c r="E35" s="2" t="n">
        <f aca="false">COUNTIFS(Raw_Data!T$2:T$1001,"&gt;="&amp;DATE(D35,1,1),Raw_Data!T$2:T$1001,"&lt;"&amp;DATE(D35+1,1,1))</f>
        <v>32</v>
      </c>
    </row>
    <row r="36" customFormat="false" ht="15" hidden="false" customHeight="false" outlineLevel="0" collapsed="false">
      <c r="D36" s="2" t="n">
        <v>2005</v>
      </c>
      <c r="E36" s="2" t="n">
        <f aca="false">COUNTIFS(Raw_Data!T$2:T$1001,"&gt;="&amp;DATE(D36,1,1),Raw_Data!T$2:T$1001,"&lt;"&amp;DATE(D36+1,1,1))</f>
        <v>28</v>
      </c>
    </row>
    <row r="37" customFormat="false" ht="15" hidden="false" customHeight="false" outlineLevel="0" collapsed="false">
      <c r="D37" s="2" t="n">
        <v>2006</v>
      </c>
      <c r="E37" s="2" t="n">
        <f aca="false">COUNTIFS(Raw_Data!T$2:T$1001,"&gt;="&amp;DATE(D37,1,1),Raw_Data!T$2:T$1001,"&lt;"&amp;DATE(D37+1,1,1))</f>
        <v>26</v>
      </c>
    </row>
    <row r="38" customFormat="false" ht="15" hidden="false" customHeight="false" outlineLevel="0" collapsed="false">
      <c r="D38" s="2" t="n">
        <v>2007</v>
      </c>
      <c r="E38" s="2" t="n">
        <f aca="false">COUNTIFS(Raw_Data!T$2:T$1001,"&gt;="&amp;DATE(D38,1,1),Raw_Data!T$2:T$1001,"&lt;"&amp;DATE(D38+1,1,1))</f>
        <v>37</v>
      </c>
    </row>
    <row r="39" customFormat="false" ht="15" hidden="false" customHeight="false" outlineLevel="0" collapsed="false">
      <c r="D39" s="2" t="n">
        <v>2008</v>
      </c>
      <c r="E39" s="2" t="n">
        <f aca="false">COUNTIFS(Raw_Data!T$2:T$1001,"&gt;="&amp;DATE(D39,1,1),Raw_Data!T$2:T$1001,"&lt;"&amp;DATE(D39+1,1,1))</f>
        <v>25</v>
      </c>
    </row>
    <row r="40" customFormat="false" ht="15" hidden="false" customHeight="false" outlineLevel="0" collapsed="false">
      <c r="D40" s="2" t="n">
        <v>2009</v>
      </c>
      <c r="E40" s="2" t="n">
        <f aca="false">COUNTIFS(Raw_Data!T$2:T$1001,"&gt;="&amp;DATE(D40,1,1),Raw_Data!T$2:T$1001,"&lt;"&amp;DATE(D40+1,1,1))</f>
        <v>26</v>
      </c>
    </row>
    <row r="41" customFormat="false" ht="15" hidden="false" customHeight="false" outlineLevel="0" collapsed="false">
      <c r="D41" s="2" t="n">
        <v>2010</v>
      </c>
      <c r="E41" s="2" t="n">
        <f aca="false">COUNTIFS(Raw_Data!T$2:T$1001,"&gt;="&amp;DATE(D41,1,1),Raw_Data!T$2:T$1001,"&lt;"&amp;DATE(D41+1,1,1))</f>
        <v>41</v>
      </c>
    </row>
    <row r="42" customFormat="false" ht="15" hidden="false" customHeight="false" outlineLevel="0" collapsed="false">
      <c r="D42" s="2" t="n">
        <v>2011</v>
      </c>
      <c r="E42" s="2" t="n">
        <f aca="false">COUNTIFS(Raw_Data!T$2:T$1001,"&gt;="&amp;DATE(D42,1,1),Raw_Data!T$2:T$1001,"&lt;"&amp;DATE(D42+1,1,1))</f>
        <v>34</v>
      </c>
    </row>
    <row r="43" customFormat="false" ht="15" hidden="false" customHeight="false" outlineLevel="0" collapsed="false">
      <c r="D43" s="2" t="n">
        <v>2012</v>
      </c>
      <c r="E43" s="2" t="n">
        <f aca="false">COUNTIFS(Raw_Data!T$2:T$1001,"&gt;="&amp;DATE(D43,1,1),Raw_Data!T$2:T$1001,"&lt;"&amp;DATE(D43+1,1,1))</f>
        <v>31</v>
      </c>
    </row>
    <row r="44" customFormat="false" ht="15" hidden="false" customHeight="false" outlineLevel="0" collapsed="false">
      <c r="D44" s="2" t="n">
        <v>2013</v>
      </c>
      <c r="E44" s="2" t="n">
        <f aca="false">COUNTIFS(Raw_Data!T$2:T$1001,"&gt;="&amp;DATE(D44,1,1),Raw_Data!T$2:T$1001,"&lt;"&amp;DATE(D44+1,1,1))</f>
        <v>53</v>
      </c>
    </row>
    <row r="45" customFormat="false" ht="15" hidden="false" customHeight="false" outlineLevel="0" collapsed="false">
      <c r="D45" s="2" t="n">
        <v>2014</v>
      </c>
      <c r="E45" s="2" t="n">
        <f aca="false">COUNTIFS(Raw_Data!T$2:T$1001,"&gt;="&amp;DATE(D45,1,1),Raw_Data!T$2:T$1001,"&lt;"&amp;DATE(D45+1,1,1))</f>
        <v>48</v>
      </c>
    </row>
    <row r="46" customFormat="false" ht="15" hidden="false" customHeight="false" outlineLevel="0" collapsed="false">
      <c r="D46" s="2" t="n">
        <v>2015</v>
      </c>
      <c r="E46" s="2" t="n">
        <f aca="false">COUNTIFS(Raw_Data!T$2:T$1001,"&gt;="&amp;DATE(D46,1,1),Raw_Data!T$2:T$1001,"&lt;"&amp;DATE(D46+1,1,1))</f>
        <v>53</v>
      </c>
    </row>
    <row r="47" customFormat="false" ht="15" hidden="false" customHeight="false" outlineLevel="0" collapsed="false">
      <c r="D47" s="2" t="n">
        <v>2016</v>
      </c>
      <c r="E47" s="2" t="n">
        <f aca="false">COUNTIFS(Raw_Data!T$2:T$1001,"&gt;="&amp;DATE(D47,1,1),Raw_Data!T$2:T$1001,"&lt;"&amp;DATE(D47+1,1,1))</f>
        <v>43</v>
      </c>
    </row>
    <row r="48" customFormat="false" ht="15" hidden="false" customHeight="false" outlineLevel="0" collapsed="false">
      <c r="D48" s="2" t="n">
        <v>2017</v>
      </c>
      <c r="E48" s="2" t="n">
        <f aca="false">COUNTIFS(Raw_Data!T$2:T$1001,"&gt;="&amp;DATE(D48,1,1),Raw_Data!T$2:T$1001,"&lt;"&amp;DATE(D48+1,1,1))</f>
        <v>36</v>
      </c>
    </row>
    <row r="49" customFormat="false" ht="15" hidden="false" customHeight="false" outlineLevel="0" collapsed="false">
      <c r="D49" s="2" t="n">
        <v>2018</v>
      </c>
      <c r="E49" s="2" t="n">
        <f aca="false">COUNTIFS(Raw_Data!T$2:T$1001,"&gt;="&amp;DATE(D49,1,1),Raw_Data!T$2:T$1001,"&lt;"&amp;DATE(D49+1,1,1))</f>
        <v>43</v>
      </c>
    </row>
    <row r="50" customFormat="false" ht="15" hidden="false" customHeight="false" outlineLevel="0" collapsed="false">
      <c r="D50" s="2" t="n">
        <v>2019</v>
      </c>
      <c r="E50" s="2" t="n">
        <f aca="false">COUNTIFS(Raw_Data!T$2:T$1001,"&gt;="&amp;DATE(D50,1,1),Raw_Data!T$2:T$1001,"&lt;"&amp;DATE(D50+1,1,1))</f>
        <v>33</v>
      </c>
    </row>
    <row r="51" customFormat="false" ht="15" hidden="false" customHeight="false" outlineLevel="0" collapsed="false">
      <c r="D51" s="2" t="n">
        <v>2020</v>
      </c>
      <c r="E51" s="2" t="n">
        <f aca="false">COUNTIFS(Raw_Data!T$2:T$1001,"&gt;="&amp;DATE(D51,1,1),Raw_Data!T$2:T$1001,"&lt;"&amp;DATE(D51+1,1,1))</f>
        <v>27</v>
      </c>
    </row>
    <row r="52" customFormat="false" ht="15" hidden="false" customHeight="false" outlineLevel="0" collapsed="false">
      <c r="D52" s="2" t="n">
        <v>2021</v>
      </c>
      <c r="E52" s="2" t="n">
        <f aca="false">COUNTIFS(Raw_Data!T$2:T$1001,"&gt;="&amp;DATE(D52,1,1),Raw_Data!T$2:T$1001,"&lt;"&amp;DATE(D52+1,1,1))</f>
        <v>42</v>
      </c>
    </row>
    <row r="53" customFormat="false" ht="15" hidden="false" customHeight="false" outlineLevel="0" collapsed="false">
      <c r="D53" s="2" t="n">
        <v>2022</v>
      </c>
      <c r="E53" s="2" t="n">
        <f aca="false">COUNTIFS(Raw_Data!T$2:T$1001,"&gt;="&amp;DATE(D53,1,1),Raw_Data!T$2:T$1001,"&lt;"&amp;DATE(D53+1,1,1))</f>
        <v>41</v>
      </c>
    </row>
    <row r="54" customFormat="false" ht="15" hidden="false" customHeight="false" outlineLevel="0" collapsed="false">
      <c r="D54" s="2" t="n">
        <v>2023</v>
      </c>
      <c r="E54" s="2" t="n">
        <f aca="false">COUNTIFS(Raw_Data!T$2:T$1001,"&gt;="&amp;DATE(D54,1,1),Raw_Data!T$2:T$1001,"&lt;"&amp;DATE(D54+1,1,1))</f>
        <v>34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26"/>
    <col collapsed="false" customWidth="true" hidden="false" outlineLevel="0" max="6" min="6" style="0" width="14"/>
  </cols>
  <sheetData>
    <row r="1" customFormat="false" ht="22.35" hidden="false" customHeight="true" outlineLevel="0" collapsed="false">
      <c r="A1" s="6" t="s">
        <v>2603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7" t="s">
        <v>2604</v>
      </c>
      <c r="B3" s="7" t="s">
        <v>2605</v>
      </c>
      <c r="C3" s="7" t="s">
        <v>2606</v>
      </c>
      <c r="D3" s="7" t="s">
        <v>2607</v>
      </c>
      <c r="E3" s="7" t="s">
        <v>2608</v>
      </c>
      <c r="F3" s="7" t="s">
        <v>2609</v>
      </c>
    </row>
    <row r="4" customFormat="false" ht="15" hidden="false" customHeight="false" outlineLevel="0" collapsed="false">
      <c r="A4" s="2" t="s">
        <v>0</v>
      </c>
      <c r="B4" s="2" t="s">
        <v>2610</v>
      </c>
      <c r="C4" s="2" t="n">
        <f aca="false">COUNTBLANK(Raw_Data!A$2:A$1001)</f>
        <v>0</v>
      </c>
      <c r="D4" s="13" t="n">
        <f aca="false">C4/1000</f>
        <v>0</v>
      </c>
      <c r="E4" s="2" t="str">
        <f aca="false">IF(C4=0,"No blanks","Blanks present")</f>
        <v>No blanks</v>
      </c>
      <c r="F4" s="2" t="str">
        <f aca="false">IF(OR(B4="Datetime",AND(B4="Text",C4&gt;0)),"Review","OK")</f>
        <v>OK</v>
      </c>
    </row>
    <row r="5" customFormat="false" ht="15" hidden="false" customHeight="false" outlineLevel="0" collapsed="false">
      <c r="A5" s="2" t="s">
        <v>1</v>
      </c>
      <c r="B5" s="2" t="s">
        <v>2611</v>
      </c>
      <c r="C5" s="2" t="n">
        <f aca="false">COUNTBLANK(Raw_Data!B$2:B$1001)</f>
        <v>0</v>
      </c>
      <c r="D5" s="13" t="n">
        <f aca="false">C5/1000</f>
        <v>0</v>
      </c>
      <c r="E5" s="2" t="str">
        <f aca="false">IF(C5=0,"No blanks","Blanks present")</f>
        <v>No blanks</v>
      </c>
      <c r="F5" s="2" t="str">
        <f aca="false">IF(OR(B5="Datetime",AND(B5="Text",C5&gt;0)),"Review","OK")</f>
        <v>OK</v>
      </c>
    </row>
    <row r="6" customFormat="false" ht="15" hidden="false" customHeight="false" outlineLevel="0" collapsed="false">
      <c r="A6" s="2" t="s">
        <v>2</v>
      </c>
      <c r="B6" s="2" t="s">
        <v>2610</v>
      </c>
      <c r="C6" s="2" t="n">
        <f aca="false">COUNTBLANK(Raw_Data!C$2:C$1001)</f>
        <v>0</v>
      </c>
      <c r="D6" s="13" t="n">
        <f aca="false">C6/1000</f>
        <v>0</v>
      </c>
      <c r="E6" s="2" t="str">
        <f aca="false">IF(C6=0,"No blanks","Blanks present")</f>
        <v>No blanks</v>
      </c>
      <c r="F6" s="2" t="str">
        <f aca="false">IF(OR(B6="Datetime",AND(B6="Text",C6&gt;0)),"Review","OK")</f>
        <v>OK</v>
      </c>
    </row>
    <row r="7" customFormat="false" ht="15" hidden="false" customHeight="false" outlineLevel="0" collapsed="false">
      <c r="A7" s="2" t="s">
        <v>3</v>
      </c>
      <c r="B7" s="2" t="s">
        <v>2611</v>
      </c>
      <c r="C7" s="2" t="n">
        <f aca="false">COUNTBLANK(Raw_Data!D$2:D$1001)</f>
        <v>0</v>
      </c>
      <c r="D7" s="13" t="n">
        <f aca="false">C7/1000</f>
        <v>0</v>
      </c>
      <c r="E7" s="2" t="str">
        <f aca="false">IF(C7=0,"No blanks","Blanks present")</f>
        <v>No blanks</v>
      </c>
      <c r="F7" s="2" t="str">
        <f aca="false">IF(OR(B7="Datetime",AND(B7="Text",C7&gt;0)),"Review","OK")</f>
        <v>OK</v>
      </c>
    </row>
    <row r="8" customFormat="false" ht="15" hidden="false" customHeight="false" outlineLevel="0" collapsed="false">
      <c r="A8" s="2" t="s">
        <v>4</v>
      </c>
      <c r="B8" s="2" t="s">
        <v>2611</v>
      </c>
      <c r="C8" s="2" t="n">
        <f aca="false">COUNTBLANK(Raw_Data!E$2:E$1001)</f>
        <v>0</v>
      </c>
      <c r="D8" s="13" t="n">
        <f aca="false">C8/1000</f>
        <v>0</v>
      </c>
      <c r="E8" s="2" t="str">
        <f aca="false">IF(C8=0,"No blanks","Blanks present")</f>
        <v>No blanks</v>
      </c>
      <c r="F8" s="2" t="str">
        <f aca="false">IF(OR(B8="Datetime",AND(B8="Text",C8&gt;0)),"Review","OK")</f>
        <v>OK</v>
      </c>
    </row>
    <row r="9" customFormat="false" ht="15" hidden="false" customHeight="false" outlineLevel="0" collapsed="false">
      <c r="A9" s="2" t="s">
        <v>5</v>
      </c>
      <c r="B9" s="2" t="s">
        <v>2612</v>
      </c>
      <c r="C9" s="2" t="n">
        <f aca="false">COUNTBLANK(Raw_Data!F$2:F$1001)</f>
        <v>551</v>
      </c>
      <c r="D9" s="13" t="n">
        <f aca="false">C9/1000</f>
        <v>0.551</v>
      </c>
      <c r="E9" s="2" t="str">
        <f aca="false">IF(C9=0,"No blanks","Blanks present")</f>
        <v>Blanks present</v>
      </c>
      <c r="F9" s="2" t="str">
        <f aca="false">IF(OR(B9="Datetime",AND(B9="Text",C9&gt;0)),"Review","OK")</f>
        <v>OK</v>
      </c>
    </row>
    <row r="10" customFormat="false" ht="15" hidden="false" customHeight="false" outlineLevel="0" collapsed="false">
      <c r="A10" s="2" t="s">
        <v>6</v>
      </c>
      <c r="B10" s="2" t="s">
        <v>2611</v>
      </c>
      <c r="C10" s="2" t="n">
        <f aca="false">COUNTBLANK(Raw_Data!G$2:G$1001)</f>
        <v>0</v>
      </c>
      <c r="D10" s="13" t="n">
        <f aca="false">C10/1000</f>
        <v>0</v>
      </c>
      <c r="E10" s="2" t="str">
        <f aca="false">IF(C10=0,"No blanks","Blanks present")</f>
        <v>No blanks</v>
      </c>
      <c r="F10" s="2" t="str">
        <f aca="false">IF(OR(B10="Datetime",AND(B10="Text",C10&gt;0)),"Review","OK")</f>
        <v>OK</v>
      </c>
    </row>
    <row r="11" customFormat="false" ht="15" hidden="false" customHeight="false" outlineLevel="0" collapsed="false">
      <c r="A11" s="2" t="s">
        <v>7</v>
      </c>
      <c r="B11" s="2" t="s">
        <v>2611</v>
      </c>
      <c r="C11" s="2" t="n">
        <f aca="false">COUNTBLANK(Raw_Data!H$2:H$1001)</f>
        <v>0</v>
      </c>
      <c r="D11" s="13" t="n">
        <f aca="false">C11/1000</f>
        <v>0</v>
      </c>
      <c r="E11" s="2" t="str">
        <f aca="false">IF(C11=0,"No blanks","Blanks present")</f>
        <v>No blanks</v>
      </c>
      <c r="F11" s="2" t="str">
        <f aca="false">IF(OR(B11="Datetime",AND(B11="Text",C11&gt;0)),"Review","OK")</f>
        <v>OK</v>
      </c>
    </row>
    <row r="12" customFormat="false" ht="15" hidden="false" customHeight="false" outlineLevel="0" collapsed="false">
      <c r="A12" s="2" t="s">
        <v>8</v>
      </c>
      <c r="B12" s="2" t="s">
        <v>2612</v>
      </c>
      <c r="C12" s="2" t="n">
        <f aca="false">COUNTBLANK(Raw_Data!I$2:I$1001)</f>
        <v>0</v>
      </c>
      <c r="D12" s="13" t="n">
        <f aca="false">C12/1000</f>
        <v>0</v>
      </c>
      <c r="E12" s="2" t="str">
        <f aca="false">IF(C12=0,"No blanks","Blanks present")</f>
        <v>No blanks</v>
      </c>
      <c r="F12" s="2" t="str">
        <f aca="false">IF(OR(B12="Datetime",AND(B12="Text",C12&gt;0)),"Review","OK")</f>
        <v>OK</v>
      </c>
    </row>
    <row r="13" customFormat="false" ht="15" hidden="false" customHeight="false" outlineLevel="0" collapsed="false">
      <c r="A13" s="2" t="s">
        <v>9</v>
      </c>
      <c r="B13" s="2" t="s">
        <v>2611</v>
      </c>
      <c r="C13" s="2" t="n">
        <f aca="false">COUNTBLANK(Raw_Data!J$2:J$1001)</f>
        <v>0</v>
      </c>
      <c r="D13" s="13" t="n">
        <f aca="false">C13/1000</f>
        <v>0</v>
      </c>
      <c r="E13" s="2" t="str">
        <f aca="false">IF(C13=0,"No blanks","Blanks present")</f>
        <v>No blanks</v>
      </c>
      <c r="F13" s="2" t="str">
        <f aca="false">IF(OR(B13="Datetime",AND(B13="Text",C13&gt;0)),"Review","OK")</f>
        <v>OK</v>
      </c>
    </row>
    <row r="14" customFormat="false" ht="15" hidden="false" customHeight="false" outlineLevel="0" collapsed="false">
      <c r="A14" s="2" t="s">
        <v>10</v>
      </c>
      <c r="B14" s="2" t="s">
        <v>2611</v>
      </c>
      <c r="C14" s="2" t="n">
        <f aca="false">COUNTBLANK(Raw_Data!K$2:K$1001)</f>
        <v>0</v>
      </c>
      <c r="D14" s="13" t="n">
        <f aca="false">C14/1000</f>
        <v>0</v>
      </c>
      <c r="E14" s="2" t="str">
        <f aca="false">IF(C14=0,"No blanks","Blanks present")</f>
        <v>No blanks</v>
      </c>
      <c r="F14" s="2" t="str">
        <f aca="false">IF(OR(B14="Datetime",AND(B14="Text",C14&gt;0)),"Review","OK")</f>
        <v>OK</v>
      </c>
    </row>
    <row r="15" customFormat="false" ht="15" hidden="false" customHeight="false" outlineLevel="0" collapsed="false">
      <c r="A15" s="2" t="s">
        <v>11</v>
      </c>
      <c r="B15" s="2" t="s">
        <v>2611</v>
      </c>
      <c r="C15" s="2" t="n">
        <f aca="false">COUNTBLANK(Raw_Data!L$2:L$1001)</f>
        <v>0</v>
      </c>
      <c r="D15" s="13" t="n">
        <f aca="false">C15/1000</f>
        <v>0</v>
      </c>
      <c r="E15" s="2" t="str">
        <f aca="false">IF(C15=0,"No blanks","Blanks present")</f>
        <v>No blanks</v>
      </c>
      <c r="F15" s="2" t="str">
        <f aca="false">IF(OR(B15="Datetime",AND(B15="Text",C15&gt;0)),"Review","OK")</f>
        <v>OK</v>
      </c>
    </row>
    <row r="16" customFormat="false" ht="15" hidden="false" customHeight="false" outlineLevel="0" collapsed="false">
      <c r="A16" s="2" t="s">
        <v>12</v>
      </c>
      <c r="B16" s="2" t="s">
        <v>2612</v>
      </c>
      <c r="C16" s="2" t="n">
        <f aca="false">COUNTBLANK(Raw_Data!M$2:M$1001)</f>
        <v>0</v>
      </c>
      <c r="D16" s="13" t="n">
        <f aca="false">C16/1000</f>
        <v>0</v>
      </c>
      <c r="E16" s="2" t="str">
        <f aca="false">IF(C16=0,"No blanks","Blanks present")</f>
        <v>No blanks</v>
      </c>
      <c r="F16" s="2" t="str">
        <f aca="false">IF(OR(B16="Datetime",AND(B16="Text",C16&gt;0)),"Review","OK")</f>
        <v>OK</v>
      </c>
    </row>
    <row r="17" customFormat="false" ht="15" hidden="false" customHeight="false" outlineLevel="0" collapsed="false">
      <c r="A17" s="2" t="s">
        <v>13</v>
      </c>
      <c r="B17" s="2" t="s">
        <v>2611</v>
      </c>
      <c r="C17" s="2" t="n">
        <f aca="false">COUNTBLANK(Raw_Data!N$2:N$1001)</f>
        <v>0</v>
      </c>
      <c r="D17" s="13" t="n">
        <f aca="false">C17/1000</f>
        <v>0</v>
      </c>
      <c r="E17" s="2" t="str">
        <f aca="false">IF(C17=0,"No blanks","Blanks present")</f>
        <v>No blanks</v>
      </c>
      <c r="F17" s="2" t="str">
        <f aca="false">IF(OR(B17="Datetime",AND(B17="Text",C17&gt;0)),"Review","OK")</f>
        <v>OK</v>
      </c>
    </row>
    <row r="18" customFormat="false" ht="15" hidden="false" customHeight="false" outlineLevel="0" collapsed="false">
      <c r="A18" s="2" t="s">
        <v>14</v>
      </c>
      <c r="B18" s="2" t="s">
        <v>2611</v>
      </c>
      <c r="C18" s="2" t="n">
        <f aca="false">COUNTBLANK(Raw_Data!O$2:O$1001)</f>
        <v>0</v>
      </c>
      <c r="D18" s="13" t="n">
        <f aca="false">C18/1000</f>
        <v>0</v>
      </c>
      <c r="E18" s="2" t="str">
        <f aca="false">IF(C18=0,"No blanks","Blanks present")</f>
        <v>No blanks</v>
      </c>
      <c r="F18" s="2" t="str">
        <f aca="false">IF(OR(B18="Datetime",AND(B18="Text",C18&gt;0)),"Review","OK")</f>
        <v>OK</v>
      </c>
    </row>
    <row r="19" customFormat="false" ht="15" hidden="false" customHeight="false" outlineLevel="0" collapsed="false">
      <c r="A19" s="2" t="s">
        <v>15</v>
      </c>
      <c r="B19" s="2" t="s">
        <v>2611</v>
      </c>
      <c r="C19" s="2" t="n">
        <f aca="false">COUNTBLANK(Raw_Data!P$2:P$1001)</f>
        <v>0</v>
      </c>
      <c r="D19" s="13" t="n">
        <f aca="false">C19/1000</f>
        <v>0</v>
      </c>
      <c r="E19" s="2" t="str">
        <f aca="false">IF(C19=0,"No blanks","Blanks present")</f>
        <v>No blanks</v>
      </c>
      <c r="F19" s="2" t="str">
        <f aca="false">IF(OR(B19="Datetime",AND(B19="Text",C19&gt;0)),"Review","OK")</f>
        <v>OK</v>
      </c>
    </row>
    <row r="20" customFormat="false" ht="15" hidden="false" customHeight="false" outlineLevel="0" collapsed="false">
      <c r="A20" s="2" t="s">
        <v>16</v>
      </c>
      <c r="B20" s="2" t="s">
        <v>2610</v>
      </c>
      <c r="C20" s="2" t="n">
        <f aca="false">COUNTBLANK(Raw_Data!Q$2:Q$1001)</f>
        <v>6</v>
      </c>
      <c r="D20" s="13" t="n">
        <f aca="false">C20/1000</f>
        <v>0.006</v>
      </c>
      <c r="E20" s="2" t="str">
        <f aca="false">IF(C20=0,"No blanks","Blanks present")</f>
        <v>Blanks present</v>
      </c>
      <c r="F20" s="2" t="str">
        <f aca="false">IF(OR(B20="Datetime",AND(B20="Text",C20&gt;0)),"Review","OK")</f>
        <v>Review</v>
      </c>
    </row>
    <row r="21" customFormat="false" ht="15" hidden="false" customHeight="false" outlineLevel="0" collapsed="false">
      <c r="A21" s="2" t="s">
        <v>17</v>
      </c>
      <c r="B21" s="2" t="s">
        <v>2612</v>
      </c>
      <c r="C21" s="2" t="n">
        <f aca="false">COUNTBLANK(Raw_Data!R$2:R$1001)</f>
        <v>716</v>
      </c>
      <c r="D21" s="13" t="n">
        <f aca="false">C21/1000</f>
        <v>0.716</v>
      </c>
      <c r="E21" s="2" t="str">
        <f aca="false">IF(C21=0,"No blanks","Blanks present")</f>
        <v>Blanks present</v>
      </c>
      <c r="F21" s="2" t="str">
        <f aca="false">IF(OR(B21="Datetime",AND(B21="Text",C21&gt;0)),"Review","OK")</f>
        <v>OK</v>
      </c>
    </row>
    <row r="22" customFormat="false" ht="15" hidden="false" customHeight="false" outlineLevel="0" collapsed="false">
      <c r="A22" s="2" t="s">
        <v>18</v>
      </c>
      <c r="B22" s="2" t="s">
        <v>2612</v>
      </c>
      <c r="C22" s="2" t="n">
        <f aca="false">COUNTBLANK(Raw_Data!S$2:S$1001)</f>
        <v>349</v>
      </c>
      <c r="D22" s="13" t="n">
        <f aca="false">C22/1000</f>
        <v>0.349</v>
      </c>
      <c r="E22" s="2" t="str">
        <f aca="false">IF(C22=0,"No blanks","Blanks present")</f>
        <v>Blanks present</v>
      </c>
      <c r="F22" s="2" t="str">
        <f aca="false">IF(OR(B22="Datetime",AND(B22="Text",C22&gt;0)),"Review","OK")</f>
        <v>OK</v>
      </c>
    </row>
    <row r="27" customFormat="false" ht="15" hidden="false" customHeight="false" outlineLevel="0" collapsed="false">
      <c r="A27" s="10" t="s">
        <v>2613</v>
      </c>
      <c r="B27" s="10" t="s">
        <v>2614</v>
      </c>
    </row>
    <row r="28" customFormat="false" ht="15" hidden="false" customHeight="false" outlineLevel="0" collapsed="false">
      <c r="A28" s="2" t="s">
        <v>2615</v>
      </c>
      <c r="B28" s="13" t="n">
        <f aca="false">COUNTBLANK(Raw_Data!F2:F1001)/1000</f>
        <v>0.551</v>
      </c>
    </row>
    <row r="29" customFormat="false" ht="15" hidden="false" customHeight="false" outlineLevel="0" collapsed="false">
      <c r="A29" s="2" t="s">
        <v>2616</v>
      </c>
      <c r="B29" s="13" t="n">
        <f aca="false">COUNTBLANK(Raw_Data!R2:R1001)/1000</f>
        <v>0.716</v>
      </c>
    </row>
    <row r="30" customFormat="false" ht="15" hidden="false" customHeight="false" outlineLevel="0" collapsed="false">
      <c r="A30" s="2" t="s">
        <v>2617</v>
      </c>
      <c r="B30" s="13" t="n">
        <f aca="false">COUNTBLANK(Raw_Data!S2:S1001)/1000</f>
        <v>0.349</v>
      </c>
    </row>
    <row r="31" customFormat="false" ht="15" hidden="false" customHeight="false" outlineLevel="0" collapsed="false">
      <c r="A31" s="2" t="s">
        <v>2618</v>
      </c>
      <c r="B31" s="13" t="n">
        <f aca="false">COUNTBLANK(Raw_Data!Q2:Q1001)/1000</f>
        <v>0.006</v>
      </c>
    </row>
    <row r="32" customFormat="false" ht="15" hidden="false" customHeight="false" outlineLevel="0" collapsed="false">
      <c r="A32" s="2" t="s">
        <v>2619</v>
      </c>
      <c r="B32" s="14" t="b">
        <f aca="false">ISNUMBER(Raw_Data!C2)</f>
        <v>0</v>
      </c>
    </row>
    <row r="33" customFormat="false" ht="15" hidden="false" customHeight="false" outlineLevel="0" collapsed="false">
      <c r="A33" s="2" t="s">
        <v>2620</v>
      </c>
      <c r="B33" s="14" t="b">
        <f aca="false">ISNUMBER(Raw_Data!T2)</f>
        <v>1</v>
      </c>
    </row>
    <row r="34" customFormat="false" ht="15" hidden="false" customHeight="false" outlineLevel="0" collapsed="false">
      <c r="A34" s="2" t="s">
        <v>2621</v>
      </c>
      <c r="B34" s="2" t="n">
        <f aca="false">COUNTIF(Raw_Data!U2:U1001,"Distance-location")</f>
        <v>0</v>
      </c>
    </row>
    <row r="35" customFormat="false" ht="15" hidden="false" customHeight="false" outlineLevel="0" collapsed="false">
      <c r="A35" s="2" t="s">
        <v>2622</v>
      </c>
      <c r="B35" s="2" t="n">
        <f aca="false">COUNTIF(Raw_Data!U2:U1001,"Named-region")</f>
        <v>1000</v>
      </c>
    </row>
    <row r="36" customFormat="false" ht="28.35" hidden="false" customHeight="false" outlineLevel="0" collapsed="false">
      <c r="A36" s="2" t="s">
        <v>2623</v>
      </c>
      <c r="B36" s="2" t="n">
        <f aca="false">COUNTA(unique(Raw_Data!M2:M1001))</f>
        <v>1</v>
      </c>
    </row>
    <row r="37" customFormat="false" ht="28.35" hidden="false" customHeight="false" outlineLevel="0" collapsed="false">
      <c r="A37" s="2" t="s">
        <v>2624</v>
      </c>
      <c r="B37" s="2" t="n">
        <f aca="false">COUNTA(unique(Raw_Data!V2:V1001))</f>
        <v>1</v>
      </c>
    </row>
    <row r="38" customFormat="false" ht="15" hidden="false" customHeight="false" outlineLevel="0" collapsed="false">
      <c r="A38" s="2" t="s">
        <v>2625</v>
      </c>
      <c r="B38" s="2" t="n">
        <f aca="false">COUNTIF(Raw_Data!W2:W1001,"Duplicate")</f>
        <v>4</v>
      </c>
    </row>
    <row r="40" customFormat="false" ht="28.35" hidden="false" customHeight="false" outlineLevel="0" collapsed="false">
      <c r="A40" s="2" t="s">
        <v>2626</v>
      </c>
      <c r="B40" s="2" t="e">
        <f aca="false">DATE(VALUE(MID(C2,7,4)),VALUE(MID(C2,4,2)),VALUE(MID(C2,1,2)))+TIME(VALUE(MID(C2,12,2)),VALUE(MID(C2,15,2)),0)</f>
        <v>#VALUE!</v>
      </c>
    </row>
    <row r="41" customFormat="false" ht="28.35" hidden="false" customHeight="false" outlineLevel="0" collapsed="false">
      <c r="A41" s="2" t="s">
        <v>2627</v>
      </c>
      <c r="B41" s="2" t="str">
        <f aca="false">IF(AND(ISNUMBER(VALUE(MID(A2,7,1))),ISNUMBER(SEARCH("km",A2)),ISNUMBER(SEARCH("of",A2))),"Distance-location","Named-region")</f>
        <v>Named-region</v>
      </c>
    </row>
    <row r="42" customFormat="false" ht="28.35" hidden="false" customHeight="false" outlineLevel="0" collapsed="false">
      <c r="A42" s="2" t="s">
        <v>2628</v>
      </c>
      <c r="B42" s="2" t="str">
        <f aca="false">LOWER(M2)</f>
        <v/>
      </c>
    </row>
    <row r="43" customFormat="false" ht="28.35" hidden="false" customHeight="false" outlineLevel="0" collapsed="false">
      <c r="A43" s="2" t="s">
        <v>2629</v>
      </c>
      <c r="B43" s="2" t="str">
        <f aca="false">IF(COUNTIFS($A$2:$A$1001,A2,$C$2:$C$1001,C2)&gt;1,"Duplicate","Unique")</f>
        <v>Unique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8"/>
  </cols>
  <sheetData>
    <row r="1" customFormat="false" ht="24.6" hidden="false" customHeight="true" outlineLevel="0" collapsed="false">
      <c r="A1" s="15" t="s">
        <v>2630</v>
      </c>
      <c r="B1" s="15"/>
      <c r="C1" s="15"/>
      <c r="D1" s="15"/>
      <c r="E1" s="15"/>
      <c r="F1" s="15"/>
      <c r="G1" s="15"/>
      <c r="H1" s="15"/>
    </row>
    <row r="3" customFormat="false" ht="15" hidden="false" customHeight="true" outlineLevel="0" collapsed="false">
      <c r="A3" s="16" t="s">
        <v>2631</v>
      </c>
      <c r="B3" s="16"/>
      <c r="C3" s="16" t="s">
        <v>2632</v>
      </c>
      <c r="D3" s="16"/>
      <c r="E3" s="16" t="s">
        <v>2633</v>
      </c>
      <c r="F3" s="16"/>
      <c r="G3" s="16" t="s">
        <v>2634</v>
      </c>
      <c r="H3" s="16"/>
    </row>
    <row r="4" customFormat="false" ht="19.7" hidden="false" customHeight="false" outlineLevel="0" collapsed="false">
      <c r="A4" s="17" t="n">
        <f aca="false">COUNTA(Raw_Data!A2:A1001)</f>
        <v>1000</v>
      </c>
      <c r="B4" s="17"/>
      <c r="C4" s="17" t="n">
        <f aca="false">AVERAGE(Raw_Data!B2:B1001)</f>
        <v>6.94015</v>
      </c>
      <c r="D4" s="17"/>
      <c r="E4" s="17" t="n">
        <f aca="false">MAX(Raw_Data!B2:B1001)</f>
        <v>9.1</v>
      </c>
      <c r="F4" s="17"/>
      <c r="G4" s="17" t="n">
        <f aca="false">MAX(Raw_Data!N2:N1001)</f>
        <v>670.81</v>
      </c>
      <c r="H4" s="17"/>
    </row>
    <row r="7" customFormat="false" ht="50.7" hidden="false" customHeight="false" outlineLevel="0" collapsed="false">
      <c r="A7" s="18" t="s">
        <v>2635</v>
      </c>
    </row>
    <row r="8" customFormat="false" ht="15" hidden="false" customHeight="false" outlineLevel="0" collapsed="false">
      <c r="A8" s="2" t="s">
        <v>2636</v>
      </c>
      <c r="B8" s="13" t="n">
        <f aca="false">COUNTBLANK(Raw_Data!F2:F1001)/1000</f>
        <v>0.551</v>
      </c>
    </row>
    <row r="9" customFormat="false" ht="15" hidden="false" customHeight="false" outlineLevel="0" collapsed="false">
      <c r="A9" s="2" t="s">
        <v>2637</v>
      </c>
      <c r="B9" s="13" t="n">
        <f aca="false">COUNTBLANK(Raw_Data!R2:R1001)/1000</f>
        <v>0.716</v>
      </c>
    </row>
    <row r="10" customFormat="false" ht="15" hidden="false" customHeight="false" outlineLevel="0" collapsed="false">
      <c r="A10" s="2" t="s">
        <v>2638</v>
      </c>
      <c r="B10" s="13" t="n">
        <f aca="false">COUNTBLANK(Raw_Data!S2:S1001)/1000</f>
        <v>0.349</v>
      </c>
    </row>
    <row r="11" customFormat="false" ht="15" hidden="false" customHeight="false" outlineLevel="0" collapsed="false">
      <c r="A11" s="2" t="s">
        <v>2639</v>
      </c>
      <c r="B11" s="13" t="n">
        <f aca="false">COUNTBLANK(Raw_Data!Q2:Q1001)/1000</f>
        <v>0.006</v>
      </c>
    </row>
    <row r="12" customFormat="false" ht="15" hidden="false" customHeight="false" outlineLevel="0" collapsed="false">
      <c r="A12" s="2" t="s">
        <v>2640</v>
      </c>
      <c r="B12" s="2" t="n">
        <f aca="false">COUNTIF(Raw_Data!W2:W1001,"Duplicate")</f>
        <v>4</v>
      </c>
    </row>
  </sheetData>
  <mergeCells count="9">
    <mergeCell ref="A1:H1"/>
    <mergeCell ref="A3:B3"/>
    <mergeCell ref="C3:D3"/>
    <mergeCell ref="E3:F3"/>
    <mergeCell ref="G3:H3"/>
    <mergeCell ref="A4:B4"/>
    <mergeCell ref="C4:D4"/>
    <mergeCell ref="E4:F4"/>
    <mergeCell ref="G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48"/>
    <col collapsed="false" customWidth="true" hidden="false" outlineLevel="0" max="4" min="4" style="0" width="14"/>
  </cols>
  <sheetData>
    <row r="1" customFormat="false" ht="22.35" hidden="false" customHeight="true" outlineLevel="0" collapsed="false">
      <c r="A1" s="6" t="s">
        <v>2641</v>
      </c>
      <c r="B1" s="6"/>
      <c r="C1" s="6"/>
      <c r="D1" s="6"/>
    </row>
    <row r="3" customFormat="false" ht="15" hidden="false" customHeight="false" outlineLevel="0" collapsed="false">
      <c r="A3" s="10" t="s">
        <v>2642</v>
      </c>
      <c r="B3" s="10" t="s">
        <v>2643</v>
      </c>
      <c r="C3" s="10" t="s">
        <v>2644</v>
      </c>
      <c r="D3" s="10" t="s">
        <v>2645</v>
      </c>
    </row>
    <row r="4" customFormat="false" ht="28.35" hidden="false" customHeight="false" outlineLevel="0" collapsed="false">
      <c r="A4" s="2" t="s">
        <v>2646</v>
      </c>
      <c r="B4" s="2" t="s">
        <v>2647</v>
      </c>
      <c r="C4" s="2" t="s">
        <v>2648</v>
      </c>
      <c r="D4" s="19" t="s">
        <v>2649</v>
      </c>
    </row>
    <row r="5" customFormat="false" ht="28.35" hidden="false" customHeight="false" outlineLevel="0" collapsed="false">
      <c r="A5" s="2" t="s">
        <v>2650</v>
      </c>
      <c r="B5" s="2" t="s">
        <v>2651</v>
      </c>
      <c r="C5" s="2" t="s">
        <v>2652</v>
      </c>
      <c r="D5" s="19" t="s">
        <v>2649</v>
      </c>
    </row>
    <row r="6" customFormat="false" ht="28.35" hidden="false" customHeight="false" outlineLevel="0" collapsed="false">
      <c r="A6" s="2" t="s">
        <v>2653</v>
      </c>
      <c r="B6" s="2" t="s">
        <v>2654</v>
      </c>
      <c r="C6" s="2" t="s">
        <v>2655</v>
      </c>
      <c r="D6" s="20" t="s">
        <v>2656</v>
      </c>
    </row>
    <row r="7" customFormat="false" ht="28.35" hidden="false" customHeight="false" outlineLevel="0" collapsed="false">
      <c r="A7" s="2" t="s">
        <v>2657</v>
      </c>
      <c r="B7" s="2" t="s">
        <v>2658</v>
      </c>
      <c r="C7" s="2" t="s">
        <v>2659</v>
      </c>
      <c r="D7" s="21" t="s">
        <v>2660</v>
      </c>
    </row>
    <row r="8" customFormat="false" ht="41.75" hidden="false" customHeight="false" outlineLevel="0" collapsed="false">
      <c r="A8" s="2" t="s">
        <v>2661</v>
      </c>
      <c r="B8" s="2" t="s">
        <v>2662</v>
      </c>
      <c r="C8" s="2" t="s">
        <v>2663</v>
      </c>
      <c r="D8" s="19" t="s">
        <v>2649</v>
      </c>
    </row>
    <row r="9" customFormat="false" ht="41.75" hidden="false" customHeight="false" outlineLevel="0" collapsed="false">
      <c r="A9" s="2" t="s">
        <v>2664</v>
      </c>
      <c r="B9" s="2" t="s">
        <v>2665</v>
      </c>
      <c r="C9" s="2" t="s">
        <v>2666</v>
      </c>
      <c r="D9" s="20" t="s">
        <v>2656</v>
      </c>
    </row>
    <row r="10" customFormat="false" ht="41.75" hidden="false" customHeight="false" outlineLevel="0" collapsed="false">
      <c r="A10" s="2" t="s">
        <v>2667</v>
      </c>
      <c r="B10" s="2" t="s">
        <v>2668</v>
      </c>
      <c r="C10" s="2" t="s">
        <v>2669</v>
      </c>
      <c r="D10" s="19" t="s">
        <v>2649</v>
      </c>
    </row>
    <row r="11" customFormat="false" ht="41.75" hidden="false" customHeight="false" outlineLevel="0" collapsed="false">
      <c r="A11" s="2" t="s">
        <v>2670</v>
      </c>
      <c r="B11" s="2" t="s">
        <v>2671</v>
      </c>
      <c r="C11" s="2" t="s">
        <v>2672</v>
      </c>
      <c r="D11" s="19" t="s">
        <v>2649</v>
      </c>
    </row>
    <row r="12" customFormat="false" ht="28.35" hidden="false" customHeight="false" outlineLevel="0" collapsed="false">
      <c r="A12" s="2" t="s">
        <v>2673</v>
      </c>
      <c r="B12" s="2" t="s">
        <v>2674</v>
      </c>
      <c r="C12" s="2" t="s">
        <v>2675</v>
      </c>
      <c r="D12" s="19" t="s">
        <v>2649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3"/>
  </cols>
  <sheetData>
    <row r="1" customFormat="false" ht="22.35" hidden="false" customHeight="true" outlineLevel="0" collapsed="false">
      <c r="A1" s="6" t="s">
        <v>2676</v>
      </c>
      <c r="B1" s="6"/>
      <c r="C1" s="6"/>
      <c r="D1" s="6"/>
    </row>
    <row r="3" customFormat="false" ht="28.35" hidden="false" customHeight="true" outlineLevel="0" collapsed="false">
      <c r="A3" s="22" t="s">
        <v>2677</v>
      </c>
      <c r="B3" s="22"/>
      <c r="C3" s="22"/>
      <c r="D3" s="22"/>
    </row>
    <row r="4" customFormat="false" ht="28.35" hidden="false" customHeight="true" outlineLevel="0" collapsed="false">
      <c r="A4" s="22" t="s">
        <v>2678</v>
      </c>
      <c r="B4" s="22"/>
      <c r="C4" s="22"/>
      <c r="D4" s="22"/>
    </row>
    <row r="5" customFormat="false" ht="28.35" hidden="false" customHeight="true" outlineLevel="0" collapsed="false">
      <c r="A5" s="22" t="s">
        <v>2679</v>
      </c>
      <c r="B5" s="22"/>
      <c r="C5" s="22"/>
      <c r="D5" s="22"/>
    </row>
    <row r="6" customFormat="false" ht="68.65" hidden="false" customHeight="true" outlineLevel="0" collapsed="false">
      <c r="A6" s="22" t="s">
        <v>2680</v>
      </c>
      <c r="B6" s="22"/>
      <c r="C6" s="22"/>
      <c r="D6" s="22"/>
    </row>
    <row r="7" customFormat="false" ht="28.35" hidden="false" customHeight="true" outlineLevel="0" collapsed="false">
      <c r="A7" s="22" t="s">
        <v>2681</v>
      </c>
      <c r="B7" s="22"/>
      <c r="C7" s="22"/>
      <c r="D7" s="22"/>
    </row>
  </sheetData>
  <mergeCells count="6">
    <mergeCell ref="A1:D1"/>
    <mergeCell ref="A3:D3"/>
    <mergeCell ref="A4:D4"/>
    <mergeCell ref="A5:D5"/>
    <mergeCell ref="A6:D6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2026-09-07T05:00:49Z</dcterms:created>
  <dc:creator>openpyxl</dc:creator>
  <dc:description/>
  <dc:language>en-US</dc:language>
  <cp:lastModifiedBy/>
  <dcterms:modified xsi:type="dcterms:W3CDTF">2026-09-07T05:00:49Z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